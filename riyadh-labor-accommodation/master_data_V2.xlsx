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lialshehre/Desktop/"/>
    </mc:Choice>
  </mc:AlternateContent>
  <xr:revisionPtr revIDLastSave="0" documentId="8_{C56B3AB4-E4C4-E549-BB7C-911EF11E7D5F}" xr6:coauthVersionLast="47" xr6:coauthVersionMax="47" xr10:uidLastSave="{00000000-0000-0000-0000-000000000000}"/>
  <bookViews>
    <workbookView xWindow="-20" yWindow="600" windowWidth="28800" windowHeight="17400" firstSheet="9" activeTab="16" xr2:uid="{00000000-000D-0000-FFFF-FFFF00000000}"/>
  </bookViews>
  <sheets>
    <sheet name="01_تعليمات" sheetId="1" r:id="rId1"/>
    <sheet name="02_البيانات_الرئيسية" sheetId="2" r:id="rId2"/>
    <sheet name="03_العرض_والطلب" sheetId="3" r:id="rId3"/>
    <sheet name="04_العرض_والطلب_حسب_القطاع" sheetId="4" r:id="rId4"/>
    <sheet name="05_الطلب_حسب_النشاط" sheetId="5" r:id="rId5"/>
    <sheet name="06_التراخيص" sheetId="6" r:id="rId6"/>
    <sheet name="07_التراخيص_الشهرية" sheetId="7" r:id="rId7"/>
    <sheet name="08_التراخيص_حسب_القطاع" sheetId="8" r:id="rId8"/>
    <sheet name="09_أنواع_المساكن" sheetId="9" r:id="rId9"/>
    <sheet name="10_الرقابة" sheetId="10" r:id="rId10"/>
    <sheet name="11_الرقابة_حسب_القطاع" sheetId="11" r:id="rId11"/>
    <sheet name="12_المخالفات_حسب_النوع" sheetId="12" r:id="rId12"/>
    <sheet name="13_الأحياء" sheetId="13" r:id="rId13"/>
    <sheet name="14_المبادرات" sheetId="14" r:id="rId14"/>
    <sheet name="15_خطة_المبادرات" sheetId="15" r:id="rId15"/>
    <sheet name="16_مؤشرات_الأداء" sheetId="16" r:id="rId16"/>
    <sheet name="17_تعريفات_ومراجع" sheetId="17" r:id="rId17"/>
    <sheet name="18_الرقابة_الشهرية" sheetId="18" r:id="rId18"/>
    <sheet name="19_مصادر_البيانات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8" l="1"/>
  <c r="D15" i="18"/>
  <c r="C9" i="12"/>
  <c r="F8" i="11"/>
  <c r="E8" i="11"/>
  <c r="C3" i="10" s="1"/>
  <c r="D8" i="11"/>
  <c r="C4" i="10" s="1"/>
  <c r="C8" i="11"/>
  <c r="C2" i="10" s="1"/>
  <c r="D6" i="9"/>
  <c r="C6" i="9"/>
  <c r="F9" i="8"/>
  <c r="D9" i="8"/>
  <c r="C9" i="8"/>
  <c r="E7" i="8"/>
  <c r="E6" i="8"/>
  <c r="E5" i="8"/>
  <c r="E4" i="8"/>
  <c r="E3" i="8"/>
  <c r="E2" i="8"/>
  <c r="E9" i="8" s="1"/>
  <c r="H5" i="7"/>
  <c r="H6" i="7" s="1"/>
  <c r="H7" i="7" s="1"/>
  <c r="H8" i="7" s="1"/>
  <c r="H9" i="7" s="1"/>
  <c r="H10" i="7" s="1"/>
  <c r="H11" i="7" s="1"/>
  <c r="H12" i="7" s="1"/>
  <c r="H13" i="7" s="1"/>
  <c r="H14" i="7" s="1"/>
  <c r="G5" i="7"/>
  <c r="G6" i="7" s="1"/>
  <c r="G7" i="7" s="1"/>
  <c r="G8" i="7" s="1"/>
  <c r="G9" i="7" s="1"/>
  <c r="G10" i="7" s="1"/>
  <c r="G11" i="7" s="1"/>
  <c r="G12" i="7" s="1"/>
  <c r="G13" i="7" s="1"/>
  <c r="G14" i="7" s="1"/>
  <c r="I4" i="7"/>
  <c r="I5" i="7" s="1"/>
  <c r="I6" i="7" s="1"/>
  <c r="I7" i="7" s="1"/>
  <c r="I8" i="7" s="1"/>
  <c r="I9" i="7" s="1"/>
  <c r="I10" i="7" s="1"/>
  <c r="I11" i="7" s="1"/>
  <c r="I12" i="7" s="1"/>
  <c r="I13" i="7" s="1"/>
  <c r="I14" i="7" s="1"/>
  <c r="H4" i="7"/>
  <c r="G4" i="7"/>
  <c r="I3" i="7"/>
  <c r="H3" i="7"/>
  <c r="G3" i="7"/>
  <c r="D4" i="6"/>
  <c r="D3" i="6"/>
  <c r="D2" i="6"/>
  <c r="C9" i="5"/>
  <c r="C8" i="4"/>
  <c r="F6" i="4"/>
  <c r="E6" i="4"/>
  <c r="D6" i="4"/>
  <c r="D5" i="4"/>
  <c r="E5" i="4" s="1"/>
  <c r="D4" i="4"/>
  <c r="E4" i="4" s="1"/>
  <c r="F3" i="4"/>
  <c r="E3" i="4"/>
  <c r="D3" i="4"/>
  <c r="F2" i="4"/>
  <c r="E2" i="4"/>
  <c r="D2" i="4"/>
  <c r="D8" i="4" s="1"/>
  <c r="F8" i="4" s="1"/>
  <c r="C13" i="2"/>
  <c r="C12" i="2"/>
  <c r="C10" i="2"/>
  <c r="C4" i="2"/>
  <c r="C4" i="6" l="1"/>
  <c r="E4" i="6" s="1"/>
  <c r="F4" i="6" s="1"/>
  <c r="C5" i="3"/>
  <c r="C5" i="2"/>
  <c r="C2" i="6"/>
  <c r="E2" i="6" s="1"/>
  <c r="F2" i="6" s="1"/>
  <c r="C8" i="2"/>
  <c r="C3" i="6"/>
  <c r="E3" i="6" s="1"/>
  <c r="F3" i="6" s="1"/>
  <c r="C9" i="2"/>
  <c r="E8" i="4"/>
  <c r="F5" i="4"/>
  <c r="C11" i="2"/>
  <c r="F4" i="4"/>
  <c r="C7" i="3" l="1"/>
  <c r="C7" i="2" s="1"/>
  <c r="C6" i="3"/>
  <c r="C9" i="3"/>
  <c r="C8" i="3" l="1"/>
  <c r="C6" i="2"/>
</calcChain>
</file>

<file path=xl/sharedStrings.xml><?xml version="1.0" encoding="utf-8"?>
<sst xmlns="http://schemas.openxmlformats.org/spreadsheetml/2006/main" count="1673" uniqueCount="548">
  <si>
    <t>مصنّف البيانات الرئيسي V2 — لوحة معلومات السكن الجماعي للأفراد بمدينة الرياض</t>
  </si>
  <si>
    <t>أساس هذه النسخة</t>
  </si>
  <si>
    <t>مسودة البيانات الأولى المقدمة منك (riyadh-housing-dashboard-data_V1.xlsx) — كل قيمك محفوظة كما هي، مع إضافة نموذج ملكية المصادر وإصلاحات هيكلية موثقة أدناه.</t>
  </si>
  <si>
    <t>تاريخ الإصدار</t>
  </si>
  <si>
    <t>2026-08-18</t>
  </si>
  <si>
    <t>نموذج ملكية المصادر (مهم)</t>
  </si>
  <si>
    <t>مبدأ الفصل</t>
  </si>
  <si>
    <t>تصنيف المؤشر في اللوحة (مثل قسم «التراخيص») لا يعني أن جهة واحدة تنتج كل بياناته — لكل بيانة أربعة أبعاد مستقلة: القسم في اللوحة، الجهة المنتجة للبيانات، المصدر، حالة المصدر.</t>
  </si>
  <si>
    <t>رخص البناء</t>
  </si>
  <si>
    <t>الجهة المصدرة: الإدارة العامة للتراخيص (حالة المصدر: أولي).</t>
  </si>
  <si>
    <t>الرخص التشغيلية والطاقة الاستيعابية وأنواع المساكن</t>
  </si>
  <si>
    <t>لا تُنسب إلى الإدارة العامة للتراخيص. الجهة المصدرة حالياً: «غير محدد / يحتاج تحديث» إلى أن تحدد الجهة الفعلية.</t>
  </si>
  <si>
    <t>حقول المصدر</t>
  </si>
  <si>
    <t>الجهة_المصدرة_للبيانات (الجهة المنتجة) · المصدر (الوثيقة/النظام) · حالة_المصدر (معتمد/أولي/يحتاج مراجعة/غير محدد) · ملاحظات_المصدر. أعمدتها برؤوس رمادية مخضرة.</t>
  </si>
  <si>
    <t>السجل المركزي</t>
  </si>
  <si>
    <t>ورقة 19_مصادر_البيانات تحصر كل مجموعة بيانات (وحتى الأعمدة داخل الورقة الواحدة عندما تختلف جهاتها، كما في 07 و08) مع جهتها وقسمها في اللوحة — هي المرجع الحاكم للملكية.</t>
  </si>
  <si>
    <t>إصلاحات وثّقناها على المسودة (راجعها)</t>
  </si>
  <si>
    <t>1) موضع خط الأساس في 07</t>
  </si>
  <si>
    <t>قيم خط الأساس الجديدة (63 / 218 / 19,485) كانت مكتوبة في أعمدة «الإضافات الشهرية» لصف الأساس بينما بقيت أعمدة «التراكمي» على القيم التجريبية القديمة — نُقلت إلى مكانها الصحيح وأُعيد بناء التراكمي كمعادلات حية.</t>
  </si>
  <si>
    <t>2) صف بلا اسم في 08</t>
  </si>
  <si>
    <t>وُجد صف مدرج يحمل 57 رخصة بناء فقط (به يصبح الإجمالي 165) — سُمي «غير مصنف قطاعياً» ويحتاج قرارك: توزيعه على القطاعات أو اعتماده بنداً مستقلاً.</t>
  </si>
  <si>
    <t>3) قيم مخبأة قديمة</t>
  </si>
  <si>
    <t>بعض خلايا المشتقات كانت تحمل نتائج حسابات قديمة متضاربة (165 مقابل 166 و76) — أُعيد بناؤها كلها معادلات تُحسب عند الفتح.</t>
  </si>
  <si>
    <t>4) أسماء الأنشطة</t>
  </si>
  <si>
    <t>حدّثت أسماء الأنشطة مع بقاء المعرفات القديمة (act_construction = «المهن الأولية») — المعرفات مفاتيح ثابتة ولا يلزم تغييرها، والأسماء المعروضة تتبع عمود «النشاط».</t>
  </si>
  <si>
    <t>5) مؤشر kpi_005</t>
  </si>
  <si>
    <t>قيمته الحالية أصبحت 136,437 وتطابق الآن الطاقة الاستيعابية — حُدّثت ملاحظته.</t>
  </si>
  <si>
    <t>قواعد التحرير العامة (كما في النسخة الأولى)</t>
  </si>
  <si>
    <t>لا تغيّر</t>
  </si>
  <si>
    <t>المعرفات وأسماء الأوراق والأعمدة.</t>
  </si>
  <si>
    <t>الخلايا الرمادية</t>
  </si>
  <si>
    <t>مشتقة بمعادلات — عدّل المدخلات الصفراء فقط.</t>
  </si>
  <si>
    <t>النسب</t>
  </si>
  <si>
    <t>كسور عشرية تُعرض بتنسيق ٪ (0.816 = 81.6٪).</t>
  </si>
  <si>
    <t>الحالات</t>
  </si>
  <si>
    <t>منجزة / جاري العمل / متأخرة / لم تبدأ بعد.</t>
  </si>
  <si>
    <t>المعرف</t>
  </si>
  <si>
    <t>المؤشر</t>
  </si>
  <si>
    <t>القيمة</t>
  </si>
  <si>
    <t>الوحدة</t>
  </si>
  <si>
    <t>الفترة</t>
  </si>
  <si>
    <t>calculation_type</t>
  </si>
  <si>
    <t>جودة_البيانات</t>
  </si>
  <si>
    <t>الجهة_المصدرة_للبيانات</t>
  </si>
  <si>
    <t>المصدر</t>
  </si>
  <si>
    <t>حالة_المصدر</t>
  </si>
  <si>
    <t>ملاحظات_المصدر</t>
  </si>
  <si>
    <t>ملاحظات</t>
  </si>
  <si>
    <t>meta_today</t>
  </si>
  <si>
    <t>تاريخ اليوم المرجعي</t>
  </si>
  <si>
    <t>تاريخ</t>
  </si>
  <si>
    <t>-</t>
  </si>
  <si>
    <t>input</t>
  </si>
  <si>
    <t>يحتاج مراجعة</t>
  </si>
  <si>
    <t>يتحكم في حالات المبادرات وخط «اليوم»</t>
  </si>
  <si>
    <t>meta_asof</t>
  </si>
  <si>
    <t>فترة العرض المعلنة</t>
  </si>
  <si>
    <t>أغسطس 2026</t>
  </si>
  <si>
    <t>نص</t>
  </si>
  <si>
    <t>main_demand</t>
  </si>
  <si>
    <t>إجمالي الطلب</t>
  </si>
  <si>
    <t>فرد</t>
  </si>
  <si>
    <t>derived</t>
  </si>
  <si>
    <t>غير محدد / يحتاج تحديث</t>
  </si>
  <si>
    <t>غير محدد</t>
  </si>
  <si>
    <t>main_supply</t>
  </si>
  <si>
    <t>العرض / الطاقة الاستيعابية</t>
  </si>
  <si>
    <t>سرير</t>
  </si>
  <si>
    <t>main_gap</t>
  </si>
  <si>
    <t>الفجوة</t>
  </si>
  <si>
    <t>main_coverage</t>
  </si>
  <si>
    <t>نسبة التغطية</t>
  </si>
  <si>
    <t>نسبة</t>
  </si>
  <si>
    <t>main_building</t>
  </si>
  <si>
    <t>رخص البناء الحالية</t>
  </si>
  <si>
    <t>رخصة</t>
  </si>
  <si>
    <t>الإدارة العامة للتراخيص</t>
  </si>
  <si>
    <t>أولي</t>
  </si>
  <si>
    <t>main_operational</t>
  </si>
  <si>
    <t>الرخص التشغيلية الحالية</t>
  </si>
  <si>
    <t>ليست من الإدارة العامة للتراخيص</t>
  </si>
  <si>
    <t>main_inspectors</t>
  </si>
  <si>
    <t>إجمالي المراقبين</t>
  </si>
  <si>
    <t>مراقب</t>
  </si>
  <si>
    <t>main_violations</t>
  </si>
  <si>
    <t>إجمالي المخالفات</t>
  </si>
  <si>
    <t>مخالفة</t>
  </si>
  <si>
    <t>آخر 12 شهراً</t>
  </si>
  <si>
    <t>main_visits</t>
  </si>
  <si>
    <t>إجمالي الزيارات</t>
  </si>
  <si>
    <t>زيارة</t>
  </si>
  <si>
    <t>main_compliance</t>
  </si>
  <si>
    <t>نسبة الامتثال</t>
  </si>
  <si>
    <t>main_ini_total</t>
  </si>
  <si>
    <t>إجمالي المبادرات</t>
  </si>
  <si>
    <t>مبادرة</t>
  </si>
  <si>
    <t>معتمد</t>
  </si>
  <si>
    <t>يتحدث من عدد صفوف ورقة 14 عند الاستيراد</t>
  </si>
  <si>
    <t>metric_id</t>
  </si>
  <si>
    <t>اسم_المؤشر</t>
  </si>
  <si>
    <t>calculation_rule</t>
  </si>
  <si>
    <t>sd_demand_total</t>
  </si>
  <si>
    <t>يساوي مجموع القطاعات والياقات والأنشطة</t>
  </si>
  <si>
    <t>sd_collar_blue</t>
  </si>
  <si>
    <t>الياقة الزرقاء</t>
  </si>
  <si>
    <t>sd_collar_white</t>
  </si>
  <si>
    <t>الياقة البيضاء</t>
  </si>
  <si>
    <t>sd_supply</t>
  </si>
  <si>
    <t>العرض الحالي (الطاقة الاستيعابية)</t>
  </si>
  <si>
    <t>الطاقة التراكمية لآخر شهر (ورقة 07)</t>
  </si>
  <si>
    <t>ليست من الإدارة العامة للتراخيص — الجهة الفعلية تحتاج تحديداً</t>
  </si>
  <si>
    <t>sd_gap</t>
  </si>
  <si>
    <t>فجوة الإيواء</t>
  </si>
  <si>
    <t>الطلب − العرض</t>
  </si>
  <si>
    <t>sd_coverage</t>
  </si>
  <si>
    <t>نسبة تغطية الطلب</t>
  </si>
  <si>
    <t>العرض ÷ الطلب</t>
  </si>
  <si>
    <t>sd_gap_pct</t>
  </si>
  <si>
    <t>نسبة الفجوة</t>
  </si>
  <si>
    <t>الفجوة ÷ الطلب</t>
  </si>
  <si>
    <t>sd_multiple</t>
  </si>
  <si>
    <t>مضاعف الطلب مقابل العرض</t>
  </si>
  <si>
    <t>مرة</t>
  </si>
  <si>
    <t>الطلب ÷ العرض</t>
  </si>
  <si>
    <t>sector_id</t>
  </si>
  <si>
    <t>القطاع</t>
  </si>
  <si>
    <t>الطلب</t>
  </si>
  <si>
    <t>العرض</t>
  </si>
  <si>
    <t>نسبة_التغطية</t>
  </si>
  <si>
    <t>sector_north</t>
  </si>
  <si>
    <t>قطاع الشمال</t>
  </si>
  <si>
    <t>فرد/سرير</t>
  </si>
  <si>
    <t>الطلب input؛ الباقي derived</t>
  </si>
  <si>
    <t>العرض مرجع من ورقة 08</t>
  </si>
  <si>
    <t>sector_east</t>
  </si>
  <si>
    <t>قطاع الشرق</t>
  </si>
  <si>
    <t>sector_center</t>
  </si>
  <si>
    <t>قطاع الوسط</t>
  </si>
  <si>
    <t>sector_west</t>
  </si>
  <si>
    <t>قطاع الغرب</t>
  </si>
  <si>
    <t>sector_south</t>
  </si>
  <si>
    <t>قطاع الجنوب</t>
  </si>
  <si>
    <t>الإجمالي (تحقق)</t>
  </si>
  <si>
    <t>لا يشمل العرضُ هنا صفَّ «غير مصنف قطاعياً» في 08 إلا في طاقته (صفر حالياً)</t>
  </si>
  <si>
    <t>activity_id</t>
  </si>
  <si>
    <t>النشاط</t>
  </si>
  <si>
    <t>الترتيب</t>
  </si>
  <si>
    <t>act_construction</t>
  </si>
  <si>
    <t>المهن الأولية</t>
  </si>
  <si>
    <t>المعرف ثابت من النسخة السابقة والاسم المعروض محدث</t>
  </si>
  <si>
    <t>act_trade</t>
  </si>
  <si>
    <t>مشغلو المصانع والآلات وعاملو التجميع</t>
  </si>
  <si>
    <t>act_industry</t>
  </si>
  <si>
    <t>عاملو الحرف ومن يرتبط بهم</t>
  </si>
  <si>
    <t>act_public_services</t>
  </si>
  <si>
    <t>مهن الزراعة وتربية الحيوان والطيور والصيد</t>
  </si>
  <si>
    <t>act_hospitality</t>
  </si>
  <si>
    <t>مهن البيع</t>
  </si>
  <si>
    <t>act_other</t>
  </si>
  <si>
    <t>قطاعات أخرى</t>
  </si>
  <si>
    <t>يجب أن يساوي إجمالي الطلب</t>
  </si>
  <si>
    <t>القيمة_الحالية</t>
  </si>
  <si>
    <t>قيمة_خط_الأساس</t>
  </si>
  <si>
    <t>التغير</t>
  </si>
  <si>
    <t>نسبة_التغير</t>
  </si>
  <si>
    <t>تاريخ_خط_الأساس</t>
  </si>
  <si>
    <t>تاريخ_القيمة_الحالية</t>
  </si>
  <si>
    <t>lic_building</t>
  </si>
  <si>
    <t>كل القيم مشتقة من ورقة 07 — عدّل هناك</t>
  </si>
  <si>
    <t>lic_operational</t>
  </si>
  <si>
    <t>الرخص التشغيلية</t>
  </si>
  <si>
    <t>لا تُنسب للإدارة العامة للتراخيص — الجهة الفعلية تحتاج تحديداً</t>
  </si>
  <si>
    <t>lic_capacity</t>
  </si>
  <si>
    <t>الطاقة الاستيعابية</t>
  </si>
  <si>
    <t>month_id</t>
  </si>
  <si>
    <t>الشهر</t>
  </si>
  <si>
    <t>التاريخ</t>
  </si>
  <si>
    <t>رخص_البناء_الجديدة</t>
  </si>
  <si>
    <t>الرخص_التشغيلية_الجديدة</t>
  </si>
  <si>
    <t>الطاقة_الاستيعابية_المضافة</t>
  </si>
  <si>
    <t>رخص_البناء_التراكمية</t>
  </si>
  <si>
    <t>الرخص_التشغيلية_التراكمية</t>
  </si>
  <si>
    <t>الطاقة_الاستيعابية_التراكمية</t>
  </si>
  <si>
    <t>m_base</t>
  </si>
  <si>
    <t>ما قبل سبتمبر 2025</t>
  </si>
  <si>
    <t>رصيد خط الأساس التراكمي (مدخل) — صُحّح موضعه من أعمدة الإضافات في المسودة</t>
  </si>
  <si>
    <t>m2025_09</t>
  </si>
  <si>
    <t>سبتمبر 2025</t>
  </si>
  <si>
    <t>m2025_10</t>
  </si>
  <si>
    <t>أكتوبر 2025</t>
  </si>
  <si>
    <t>m2025_11</t>
  </si>
  <si>
    <t>نوفمبر 2025</t>
  </si>
  <si>
    <t>m2025_12</t>
  </si>
  <si>
    <t>ديسمبر 2025</t>
  </si>
  <si>
    <t>m2026_01</t>
  </si>
  <si>
    <t>يناير 2026</t>
  </si>
  <si>
    <t>m2026_02</t>
  </si>
  <si>
    <t>فبراير 2026</t>
  </si>
  <si>
    <t>m2026_03</t>
  </si>
  <si>
    <t>مارس 2026</t>
  </si>
  <si>
    <t>m2026_04</t>
  </si>
  <si>
    <t>أبريل 2026</t>
  </si>
  <si>
    <t>m2026_05</t>
  </si>
  <si>
    <t>مايو 2026</t>
  </si>
  <si>
    <t>m2026_06</t>
  </si>
  <si>
    <t>يونيو 2026</t>
  </si>
  <si>
    <t>m2026_07</t>
  </si>
  <si>
    <t>يوليو 2026</t>
  </si>
  <si>
    <t>m2026_08</t>
  </si>
  <si>
    <t>رخص_البناء</t>
  </si>
  <si>
    <t>الرخص_التشغيلية</t>
  </si>
  <si>
    <t>إجمالي_الرخص</t>
  </si>
  <si>
    <t>الطاقة_الاستيعابية</t>
  </si>
  <si>
    <t>الإجمالي derived؛ الباقي input</t>
  </si>
  <si>
    <t>رخص البناء: الإدارة العامة للتراخيص؛ الباقي: غير محدد / يحتاج تحديث</t>
  </si>
  <si>
    <t>انظر ورقة 19 للملكية بحسب العمود</t>
  </si>
  <si>
    <t>sector_unassigned</t>
  </si>
  <si>
    <t>غير مصنف قطاعياً</t>
  </si>
  <si>
    <t>صف مدرج في المسودة بلا اسم (57 رخصة بناء) — يحتاج قرارك: توزيعه أو اعتماده</t>
  </si>
  <si>
    <t>يجب أن يطابق القيم الحالية في ورقة 06</t>
  </si>
  <si>
    <t>housing_type_id</t>
  </si>
  <si>
    <t>نوع_السكن</t>
  </si>
  <si>
    <t>عدد_الرخص</t>
  </si>
  <si>
    <t>icon_key</t>
  </si>
  <si>
    <t>housing_compound</t>
  </si>
  <si>
    <t>مجمع سكني</t>
  </si>
  <si>
    <t>رخصة/سرير</t>
  </si>
  <si>
    <t>compound</t>
  </si>
  <si>
    <t>بيانات تشغيلية — لا تُنسب للإدارة العامة للتراخيص</t>
  </si>
  <si>
    <t>housing_building</t>
  </si>
  <si>
    <t>مبنى سكني</t>
  </si>
  <si>
    <t>building</t>
  </si>
  <si>
    <t>housing_cabins</t>
  </si>
  <si>
    <t>كبائن متنقلة</t>
  </si>
  <si>
    <t>cabins</t>
  </si>
  <si>
    <t>العدد = الرخص التشغيلية الحالية؛ الأسرّة = الطاقة الحالية</t>
  </si>
  <si>
    <t>ctl_inspectors_total</t>
  </si>
  <si>
    <t>إجمالي عدد المراقبين</t>
  </si>
  <si>
    <t>مجموع القطاعات (ورقة 11)</t>
  </si>
  <si>
    <t>ctl_violations_total</t>
  </si>
  <si>
    <t>إجمالي عدد المخالفات</t>
  </si>
  <si>
    <t>ctl_visits_total</t>
  </si>
  <si>
    <t>إجمالي الزيارات الرقابية</t>
  </si>
  <si>
    <t>ctl_compliance</t>
  </si>
  <si>
    <t>ctl_closures_total</t>
  </si>
  <si>
    <t>إجمالي الإغلاقات</t>
  </si>
  <si>
    <t>إغلاق</t>
  </si>
  <si>
    <t>غير متوفر</t>
  </si>
  <si>
    <t>عدد_المراقبين</t>
  </si>
  <si>
    <t>عدد_الزيارات</t>
  </si>
  <si>
    <t>عدد_المخالفات</t>
  </si>
  <si>
    <t>عدد_الإغلاقات</t>
  </si>
  <si>
    <t>عدد الإغلاقات غير متوفر — أدخله إن توفر</t>
  </si>
  <si>
    <t>violation_type_id</t>
  </si>
  <si>
    <t>نوع_المخالفة</t>
  </si>
  <si>
    <t>vt_overcrowding</t>
  </si>
  <si>
    <t>الاكتظاظ وتجاوز الطاقة الاستيعابية</t>
  </si>
  <si>
    <t>vt_fire_safety</t>
  </si>
  <si>
    <t>اشتراطات السلامة والحماية من الحريق</t>
  </si>
  <si>
    <t>vt_hygiene</t>
  </si>
  <si>
    <t>النظافة والصحة العامة</t>
  </si>
  <si>
    <t>vt_unlicensed</t>
  </si>
  <si>
    <t>مزاولة النشاط بدون ترخيص</t>
  </si>
  <si>
    <t>vt_electric_plumbing</t>
  </si>
  <si>
    <t>مخالفات الكهرباء والسباكة</t>
  </si>
  <si>
    <t>vt_ventilation</t>
  </si>
  <si>
    <t>التهوية والعزل غير المطابق</t>
  </si>
  <si>
    <t>يجب أن يساوي إجمالي المخالفات</t>
  </si>
  <si>
    <t>neighborhood_id</t>
  </si>
  <si>
    <t>الحي</t>
  </si>
  <si>
    <t>خط_العرض</t>
  </si>
  <si>
    <t>خط_الطول</t>
  </si>
  <si>
    <t>nb_01</t>
  </si>
  <si>
    <t>حي الملقا</t>
  </si>
  <si>
    <t>عينة</t>
  </si>
  <si>
    <t>بيانات عينة — لم تُحدّث في المسودة الأولى؛ نقاط التركّز تُرسم عند مركز مضلع الحي من ملف الحدود</t>
  </si>
  <si>
    <t>nb_02</t>
  </si>
  <si>
    <t>حي الصحافة</t>
  </si>
  <si>
    <t>nb_03</t>
  </si>
  <si>
    <t>حي حطين</t>
  </si>
  <si>
    <t>nb_04</t>
  </si>
  <si>
    <t>حي الياسمين</t>
  </si>
  <si>
    <t>nb_05</t>
  </si>
  <si>
    <t>حي النسيم الشرقي</t>
  </si>
  <si>
    <t>nb_06</t>
  </si>
  <si>
    <t>حي السلي</t>
  </si>
  <si>
    <t>nb_07</t>
  </si>
  <si>
    <t>حي النظيم</t>
  </si>
  <si>
    <t>nb_08</t>
  </si>
  <si>
    <t>حي النسيم الغربي</t>
  </si>
  <si>
    <t>nb_09</t>
  </si>
  <si>
    <t>حي منفوحة</t>
  </si>
  <si>
    <t>nb_10</t>
  </si>
  <si>
    <t>حي غبيرة</t>
  </si>
  <si>
    <t>nb_11</t>
  </si>
  <si>
    <t>حي الجرادية</t>
  </si>
  <si>
    <t>nb_12</t>
  </si>
  <si>
    <t>حي الديرة</t>
  </si>
  <si>
    <t>nb_13</t>
  </si>
  <si>
    <t>حي السويدي الغربي</t>
  </si>
  <si>
    <t>nb_14</t>
  </si>
  <si>
    <t>حي ظهرة لبن</t>
  </si>
  <si>
    <t>nb_15</t>
  </si>
  <si>
    <t>حي العريجاء الغربي</t>
  </si>
  <si>
    <t>nb_16</t>
  </si>
  <si>
    <t>حي طويق</t>
  </si>
  <si>
    <t>nb_17</t>
  </si>
  <si>
    <t>حي المنصورية</t>
  </si>
  <si>
    <t>nb_18</t>
  </si>
  <si>
    <t>حي العزيزية</t>
  </si>
  <si>
    <t>nb_19</t>
  </si>
  <si>
    <t>حي الشفا</t>
  </si>
  <si>
    <t>nb_20</t>
  </si>
  <si>
    <t>حي بدر</t>
  </si>
  <si>
    <t>initiative_id</t>
  </si>
  <si>
    <t>رقم_المبادرة</t>
  </si>
  <si>
    <t>اسم_المبادرة</t>
  </si>
  <si>
    <t>goal_id</t>
  </si>
  <si>
    <t>الهدف</t>
  </si>
  <si>
    <t>الحالة_في_الملف</t>
  </si>
  <si>
    <t>الحالة_المعروضة_حالياً</t>
  </si>
  <si>
    <t>تاريخ_البدء</t>
  </si>
  <si>
    <t>تاريخ_الانتهاء</t>
  </si>
  <si>
    <t>الجهة_المسؤولة</t>
  </si>
  <si>
    <t>ini_1_1</t>
  </si>
  <si>
    <t>1.1</t>
  </si>
  <si>
    <t>دراسة الطلب والعرض على السكن الجماعي للأفراد</t>
  </si>
  <si>
    <t>g1</t>
  </si>
  <si>
    <t>الهدف الأول</t>
  </si>
  <si>
    <t>منجزة</t>
  </si>
  <si>
    <t>حالة صريحة في الملف</t>
  </si>
  <si>
    <t>ini_1_2</t>
  </si>
  <si>
    <t>1.2</t>
  </si>
  <si>
    <t>تسهيل رحلة إصدار التراخيص وزيادة الوعي في المنظومة</t>
  </si>
  <si>
    <t>متأخرة</t>
  </si>
  <si>
    <t>الحالة المعروضة محتسبة زمنياً بتاريخ 2026-08-17</t>
  </si>
  <si>
    <t>ini_1_3</t>
  </si>
  <si>
    <t>1.3</t>
  </si>
  <si>
    <t>طرح فرص استثمارية ورفع مستوى رضا المستثمرين</t>
  </si>
  <si>
    <t>ini_1_4</t>
  </si>
  <si>
    <t>1.4</t>
  </si>
  <si>
    <t>تقنين السكن الجماعي غير المرخص</t>
  </si>
  <si>
    <t>جاري العمل</t>
  </si>
  <si>
    <t>ini_1_5</t>
  </si>
  <si>
    <t>1.5</t>
  </si>
  <si>
    <t>احتضان مشاريع نموذجية للسكن الجماعي في المدينة</t>
  </si>
  <si>
    <t>ini_1_6</t>
  </si>
  <si>
    <t>1.6</t>
  </si>
  <si>
    <t>إضافة فئات جديدة للسكن الجماعي للأفراد</t>
  </si>
  <si>
    <t>ini_2_1</t>
  </si>
  <si>
    <t>2.1</t>
  </si>
  <si>
    <t>تنظيم التعاقد الإيجاري للسكن الجماعي</t>
  </si>
  <si>
    <t>g2</t>
  </si>
  <si>
    <t>الهدف الثاني</t>
  </si>
  <si>
    <t>ini_2_2</t>
  </si>
  <si>
    <t>2.2</t>
  </si>
  <si>
    <t>ربط مكان سكن العامل بالهوية</t>
  </si>
  <si>
    <t>ini_2_3</t>
  </si>
  <si>
    <t>2.3</t>
  </si>
  <si>
    <t>إلزام المنشآت بتسكين العاملين في سكن مرخص</t>
  </si>
  <si>
    <t>ini_2_4</t>
  </si>
  <si>
    <t>2.4</t>
  </si>
  <si>
    <t>تنظيم المباني ذو الطاقة الاستيعابية أقل من 20</t>
  </si>
  <si>
    <t>ini_3_1</t>
  </si>
  <si>
    <t>3.1</t>
  </si>
  <si>
    <t>تفعيل الرقابة الاستباقية لما قبل إصدار التراخيص</t>
  </si>
  <si>
    <t>g3</t>
  </si>
  <si>
    <t>الهدف الثالث</t>
  </si>
  <si>
    <t>ini_3_2</t>
  </si>
  <si>
    <t>3.2</t>
  </si>
  <si>
    <t>زيادة كفاءة التفتيش الميداني</t>
  </si>
  <si>
    <t>ini_3_3</t>
  </si>
  <si>
    <t>3.3</t>
  </si>
  <si>
    <t>تحديث آلية المخالفات</t>
  </si>
  <si>
    <t>ini_4_1</t>
  </si>
  <si>
    <t>4.1</t>
  </si>
  <si>
    <t>تفعيل نموذج الحوكمة</t>
  </si>
  <si>
    <t>g4</t>
  </si>
  <si>
    <t>الممكن</t>
  </si>
  <si>
    <t>ini_4_2</t>
  </si>
  <si>
    <t>4.2</t>
  </si>
  <si>
    <t>تطبيق خطة إدارة الأداء والمخاطر</t>
  </si>
  <si>
    <t>ini_4_3</t>
  </si>
  <si>
    <t>4.3</t>
  </si>
  <si>
    <t>تحسين آليات التواصل</t>
  </si>
  <si>
    <t>ini_4_4</t>
  </si>
  <si>
    <t>4.4</t>
  </si>
  <si>
    <t>تطبيق نموذجي تشغيلي للمنظومة</t>
  </si>
  <si>
    <t>ini_4_5</t>
  </si>
  <si>
    <t>4.5</t>
  </si>
  <si>
    <t>رقمنة العمليات والإجراءات في منظومة السكن الجماعي</t>
  </si>
  <si>
    <t>plan_item_id</t>
  </si>
  <si>
    <t>المبادرة</t>
  </si>
  <si>
    <t>اسم_النشاط</t>
  </si>
  <si>
    <t>الحالة</t>
  </si>
  <si>
    <t>plan_1_1</t>
  </si>
  <si>
    <t>بند واحد لكل مبادرة — أضف صفوف أنشطة فرعية إن رغبت</t>
  </si>
  <si>
    <t>plan_1_2</t>
  </si>
  <si>
    <t>plan_1_3</t>
  </si>
  <si>
    <t>plan_1_4</t>
  </si>
  <si>
    <t>plan_1_5</t>
  </si>
  <si>
    <t>plan_1_6</t>
  </si>
  <si>
    <t>plan_2_1</t>
  </si>
  <si>
    <t>plan_2_2</t>
  </si>
  <si>
    <t>plan_2_3</t>
  </si>
  <si>
    <t>plan_2_4</t>
  </si>
  <si>
    <t>plan_3_1</t>
  </si>
  <si>
    <t>plan_3_2</t>
  </si>
  <si>
    <t>plan_3_3</t>
  </si>
  <si>
    <t>plan_4_1</t>
  </si>
  <si>
    <t>plan_4_2</t>
  </si>
  <si>
    <t>plan_4_3</t>
  </si>
  <si>
    <t>plan_4_4</t>
  </si>
  <si>
    <t>plan_4_5</t>
  </si>
  <si>
    <t>kpi_id</t>
  </si>
  <si>
    <t>خط_الأساس</t>
  </si>
  <si>
    <t>المستهدف</t>
  </si>
  <si>
    <t>نوع_المؤشر</t>
  </si>
  <si>
    <t>اتجاه_الأداء</t>
  </si>
  <si>
    <t>kpi_001</t>
  </si>
  <si>
    <t>نسبة الالتزام باتفاقيات مستوى الخدمة للتراخيص</t>
  </si>
  <si>
    <t>الأعلى_أفضل</t>
  </si>
  <si>
    <t>تجريبي</t>
  </si>
  <si>
    <t>خطة العمل V.1.0.0</t>
  </si>
  <si>
    <t>خط الأساس والمستهدف من خطة العمل؛ جهة القيم الحالية غير محددة</t>
  </si>
  <si>
    <t>خط الأساس والمستهدف من خطة العمل؛ القيمة الحالية تقديرية وتُستبدل بالفعلية</t>
  </si>
  <si>
    <t>kpi_002</t>
  </si>
  <si>
    <t>نسبة تفعيل نموذج الحوكمة المحدث للسكن الجماعي</t>
  </si>
  <si>
    <t>kpi_003</t>
  </si>
  <si>
    <t>عدد الأراضي المطروحة لبناء سكن جماعي للأفراد</t>
  </si>
  <si>
    <t>أرض</t>
  </si>
  <si>
    <t>عدد</t>
  </si>
  <si>
    <t>kpi_004</t>
  </si>
  <si>
    <t>عدد المشاريع النوعية في منظومة السكن الجماعي</t>
  </si>
  <si>
    <t>مشروع</t>
  </si>
  <si>
    <t>kpi_005</t>
  </si>
  <si>
    <t>عدد الأسرّة المرخصة في مدينة الرياض</t>
  </si>
  <si>
    <t>حُدّثت القيمة الحالية في المسودة وتطابق الآن الطاقة الاستيعابية (ورقة 07)</t>
  </si>
  <si>
    <t>kpi_006</t>
  </si>
  <si>
    <t>نسبة رضا المستثمرين</t>
  </si>
  <si>
    <t>kpi_007</t>
  </si>
  <si>
    <t>نسبة العقود التأجيرية المربوطة برخص السكن الجماعي</t>
  </si>
  <si>
    <t>kpi_008</t>
  </si>
  <si>
    <t>نسبة امتثال المساكن الجماعية للأفراد</t>
  </si>
  <si>
    <t>kpi_009</t>
  </si>
  <si>
    <t>نسبة اكتمال تطبيق النموذج التشغيلي المستهدف</t>
  </si>
  <si>
    <t>kpi_010</t>
  </si>
  <si>
    <t>نسبة مؤشرات الأداء المتوافقة مع خطة إدارة الأداء</t>
  </si>
  <si>
    <t>kpi_011</t>
  </si>
  <si>
    <t>نسبة أتمتة العمليات في منظومة السكن الجماعي</t>
  </si>
  <si>
    <t>kpi_012</t>
  </si>
  <si>
    <t>نسبة تفعيل قنوات التواصل مع الجمهور المستهدف</t>
  </si>
  <si>
    <t>kpi_013</t>
  </si>
  <si>
    <t>نسبة الأفراد الساكنين في سكن مرخص</t>
  </si>
  <si>
    <t>kpi_014</t>
  </si>
  <si>
    <t>نسبة طلبات السكن المحفزة للسكن قرب العمل</t>
  </si>
  <si>
    <t>الأهداف</t>
  </si>
  <si>
    <t>الاسم</t>
  </si>
  <si>
    <t>الوصف</t>
  </si>
  <si>
    <t>زيادة المعروض المرخص</t>
  </si>
  <si>
    <t>سد الفجوات التنظيمية</t>
  </si>
  <si>
    <t>تحسين آليات الرقابة</t>
  </si>
  <si>
    <t>الحوكمة والنموذج التشغيلي</t>
  </si>
  <si>
    <t>القطاعات</t>
  </si>
  <si>
    <t>حالات المبادرات</t>
  </si>
  <si>
    <t>status_id</t>
  </si>
  <si>
    <t>الاسم_المعروض</t>
  </si>
  <si>
    <t>st_done</t>
  </si>
  <si>
    <t>st_run</t>
  </si>
  <si>
    <t>st_late</t>
  </si>
  <si>
    <t>st_wait</t>
  </si>
  <si>
    <t>لم تبدأ بعد</t>
  </si>
  <si>
    <t>أنواع المساكن</t>
  </si>
  <si>
    <t>اتجاه المؤشر</t>
  </si>
  <si>
    <t>direction_id</t>
  </si>
  <si>
    <t>dir_higher</t>
  </si>
  <si>
    <t>dir_lower</t>
  </si>
  <si>
    <t>الأقل_أفضل</t>
  </si>
  <si>
    <t>حالة المصدر</t>
  </si>
  <si>
    <t>source_status_id</t>
  </si>
  <si>
    <t>ss_approved</t>
  </si>
  <si>
    <t>ss_prelim</t>
  </si>
  <si>
    <t>ss_review</t>
  </si>
  <si>
    <t>ss_unknown</t>
  </si>
  <si>
    <t>الجهات المصدرة المعروفة حتى الآن</t>
  </si>
  <si>
    <t>entity_id</t>
  </si>
  <si>
    <t>نطاقها</t>
  </si>
  <si>
    <t>ent_licensing_admin</t>
  </si>
  <si>
    <t>رخص البناء فقط</t>
  </si>
  <si>
    <t>ent_tbd</t>
  </si>
  <si>
    <t>كل ما لم تحدد جهته بعد</t>
  </si>
  <si>
    <t>أعلام جودة البيانات</t>
  </si>
  <si>
    <t>quality_id</t>
  </si>
  <si>
    <t>q_approved</t>
  </si>
  <si>
    <t>q_review</t>
  </si>
  <si>
    <t>q_demo</t>
  </si>
  <si>
    <t>q_sample</t>
  </si>
  <si>
    <t>q_na</t>
  </si>
  <si>
    <t>الزيارات_الرقابية</t>
  </si>
  <si>
    <t>المخالفات</t>
  </si>
  <si>
    <t>يجب أن يطابق مجموع القطاعات في ورقة 11</t>
  </si>
  <si>
    <t>dataset_id</t>
  </si>
  <si>
    <t>البند</t>
  </si>
  <si>
    <t>القسم_في_اللوحة</t>
  </si>
  <si>
    <t>الورقة/العمود</t>
  </si>
  <si>
    <t>ds_building_lic</t>
  </si>
  <si>
    <t>رخص البناء (خط الأساس والشهري والقطاعي)</t>
  </si>
  <si>
    <t>التراخيص</t>
  </si>
  <si>
    <t>06 و07 (أعمدة البناء) و08 (عمود رخص_البناء)</t>
  </si>
  <si>
    <t>الجهة الوحيدة المؤكدة حتى الآن — مسؤولة عن رخص البناء فقط</t>
  </si>
  <si>
    <t>ds_operational_lic</t>
  </si>
  <si>
    <t>الرخص التشغيلية (خط الأساس والشهري والقطاعي)</t>
  </si>
  <si>
    <t>06 و07 (أعمدة التشغيلية) و08 (عمود الرخص_التشغيلية)</t>
  </si>
  <si>
    <t>لا تُنسب للإدارة العامة للتراخيص رغم ظهورها في قسم التراخيص</t>
  </si>
  <si>
    <t>ds_capacity</t>
  </si>
  <si>
    <t>الطاقة الاستيعابية (وكل مشتقاتها)</t>
  </si>
  <si>
    <t>التراخيص / العرض والطلب</t>
  </si>
  <si>
    <t>06 و07 (أعمدة الطاقة) و08 و03</t>
  </si>
  <si>
    <t>مرتبطة بالرخص التشغيلية — جهتها تحتاج تحديداً</t>
  </si>
  <si>
    <t>ds_housing_types</t>
  </si>
  <si>
    <t>أنواع المساكن التشغيلية</t>
  </si>
  <si>
    <t>09</t>
  </si>
  <si>
    <t>ds_demand</t>
  </si>
  <si>
    <t>الطلب وتركيبته (الإجمالي، الياقات، القطاعات، الأنشطة)</t>
  </si>
  <si>
    <t>العرض والطلب</t>
  </si>
  <si>
    <t>03 و04 و05</t>
  </si>
  <si>
    <t>ds_control</t>
  </si>
  <si>
    <t>الرقابة (المراقبون، الزيارات، المخالفات، الامتثال)</t>
  </si>
  <si>
    <t>الرقابة</t>
  </si>
  <si>
    <t>10 و11 و12 و18</t>
  </si>
  <si>
    <t>ds_neighborhoods</t>
  </si>
  <si>
    <t>سجل الأحياء</t>
  </si>
  <si>
    <t>الرقابة / التراخيص</t>
  </si>
  <si>
    <t>13</t>
  </si>
  <si>
    <t>بيانات عينة لم تُحدّث في المسودة الأولى</t>
  </si>
  <si>
    <t>ds_initiatives</t>
  </si>
  <si>
    <t>المبادرات وخطتها التنفيذية</t>
  </si>
  <si>
    <t>المبادرات</t>
  </si>
  <si>
    <t>14 و15</t>
  </si>
  <si>
    <t>ds_kpi_targets</t>
  </si>
  <si>
    <t>مؤشرات الأداء: خط الأساس والمستهدفات</t>
  </si>
  <si>
    <t>مؤشرات الأداء</t>
  </si>
  <si>
    <t>16 (عمودا خط_الأساس والمستهدف)</t>
  </si>
  <si>
    <t>المصدر وثيقة خطة العمل — الجهة المنتجة تحتاج تحديداً</t>
  </si>
  <si>
    <t>ds_kpi_currents</t>
  </si>
  <si>
    <t>مؤشرات الأداء: القيم الحالية</t>
  </si>
  <si>
    <t>16 (عمود القيمة_الحالية)</t>
  </si>
  <si>
    <t>قيم تقديرية للعرض حتى تصل القيم الفعلية من جهاتها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</si>
</sst>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yyyy\-mm\-dd"/>
  </numFmts>
  <fonts count="5" x14ac:knownFonts="1">
    <font>
      <sz val="11"/>
      <color theme="1"/>
      <name val="Calibri"/>
      <family val="2"/>
      <scheme val="minor"/>
    </font>
    <font>
      <b/>
      <sz val="13"/>
      <color rgb="FF0A523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7F3EC"/>
      </patternFill>
    </fill>
    <fill>
      <patternFill patternType="solid">
        <fgColor rgb="FFFAEBE8"/>
      </patternFill>
    </fill>
    <fill>
      <patternFill patternType="solid">
        <fgColor rgb="FFEFEFEA"/>
      </patternFill>
    </fill>
    <fill>
      <patternFill patternType="solid">
        <fgColor rgb="FF0A5230"/>
      </patternFill>
    </fill>
    <fill>
      <patternFill patternType="solid">
        <fgColor rgb="FF5A6B61"/>
      </patternFill>
    </fill>
    <fill>
      <patternFill patternType="solid">
        <fgColor rgb="FFFFF9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right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166" fontId="2" fillId="7" borderId="1" xfId="0" applyNumberFormat="1" applyFont="1" applyFill="1" applyBorder="1" applyAlignment="1">
      <alignment horizontal="right" vertical="center" wrapText="1"/>
    </xf>
    <xf numFmtId="3" fontId="2" fillId="7" borderId="1" xfId="0" applyNumberFormat="1" applyFont="1" applyFill="1" applyBorder="1" applyAlignment="1">
      <alignment horizontal="right" vertical="center" wrapText="1"/>
    </xf>
    <xf numFmtId="3" fontId="2" fillId="4" borderId="1" xfId="0" applyNumberFormat="1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165" fontId="2" fillId="4" borderId="1" xfId="0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166" fontId="2" fillId="0" borderId="1" xfId="0" applyNumberFormat="1" applyFont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164" fontId="2" fillId="7" borderId="1" xfId="0" applyNumberFormat="1" applyFont="1" applyFill="1" applyBorder="1" applyAlignment="1">
      <alignment horizontal="right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Main" displayName="T_Main" ref="A1:L14">
  <autoFilter ref="A1:L14" xr:uid="{00000000-0009-0000-0100-000001000000}"/>
  <tableColumns count="12">
    <tableColumn id="1" xr3:uid="{00000000-0010-0000-0000-000001000000}" name="المعرف"/>
    <tableColumn id="2" xr3:uid="{00000000-0010-0000-0000-000002000000}" name="المؤشر"/>
    <tableColumn id="3" xr3:uid="{00000000-0010-0000-0000-000003000000}" name="القيمة"/>
    <tableColumn id="4" xr3:uid="{00000000-0010-0000-0000-000004000000}" name="الوحدة"/>
    <tableColumn id="5" xr3:uid="{00000000-0010-0000-0000-000005000000}" name="الفترة"/>
    <tableColumn id="6" xr3:uid="{00000000-0010-0000-0000-000006000000}" name="calculation_type"/>
    <tableColumn id="7" xr3:uid="{00000000-0010-0000-0000-000007000000}" name="جودة_البيانات"/>
    <tableColumn id="8" xr3:uid="{00000000-0010-0000-0000-000008000000}" name="الجهة_المصدرة_للبيانات"/>
    <tableColumn id="9" xr3:uid="{00000000-0010-0000-0000-000009000000}" name="المصدر"/>
    <tableColumn id="10" xr3:uid="{00000000-0010-0000-0000-00000A000000}" name="حالة_المصدر"/>
    <tableColumn id="11" xr3:uid="{00000000-0010-0000-0000-00000B000000}" name="ملاحظات_المصدر"/>
    <tableColumn id="12" xr3:uid="{00000000-0010-0000-0000-00000C000000}" name="ملاحظات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SupplyDemand" displayName="T_SupplyDemand" ref="A1:M9">
  <autoFilter ref="A1:M9" xr:uid="{00000000-0009-0000-0100-000002000000}"/>
  <tableColumns count="13">
    <tableColumn id="1" xr3:uid="{00000000-0010-0000-0100-000001000000}" name="metric_id"/>
    <tableColumn id="2" xr3:uid="{00000000-0010-0000-0100-000002000000}" name="اسم_المؤشر"/>
    <tableColumn id="3" xr3:uid="{00000000-0010-0000-0100-000003000000}" name="القيمة"/>
    <tableColumn id="4" xr3:uid="{00000000-0010-0000-0100-000004000000}" name="الوحدة"/>
    <tableColumn id="5" xr3:uid="{00000000-0010-0000-0100-000005000000}" name="الفترة"/>
    <tableColumn id="6" xr3:uid="{00000000-0010-0000-0100-000006000000}" name="calculation_type"/>
    <tableColumn id="7" xr3:uid="{00000000-0010-0000-0100-000007000000}" name="calculation_rule"/>
    <tableColumn id="8" xr3:uid="{00000000-0010-0000-0100-000008000000}" name="جودة_البيانات"/>
    <tableColumn id="9" xr3:uid="{00000000-0010-0000-0100-000009000000}" name="الجهة_المصدرة_للبيانات"/>
    <tableColumn id="10" xr3:uid="{00000000-0010-0000-0100-00000A000000}" name="المصدر"/>
    <tableColumn id="11" xr3:uid="{00000000-0010-0000-0100-00000B000000}" name="حالة_المصدر"/>
    <tableColumn id="12" xr3:uid="{00000000-0010-0000-0100-00000C000000}" name="ملاحظات_المصدر"/>
    <tableColumn id="13" xr3:uid="{00000000-0010-0000-0100-00000D000000}" name="ملاحظات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SDSector" displayName="T_SDSector" ref="A1:N6">
  <autoFilter ref="A1:N6" xr:uid="{00000000-0009-0000-0100-000003000000}"/>
  <tableColumns count="14">
    <tableColumn id="1" xr3:uid="{00000000-0010-0000-0200-000001000000}" name="sector_id"/>
    <tableColumn id="2" xr3:uid="{00000000-0010-0000-0200-000002000000}" name="القطاع"/>
    <tableColumn id="3" xr3:uid="{00000000-0010-0000-0200-000003000000}" name="الطلب"/>
    <tableColumn id="4" xr3:uid="{00000000-0010-0000-0200-000004000000}" name="العرض"/>
    <tableColumn id="5" xr3:uid="{00000000-0010-0000-0200-000005000000}" name="الفجوة"/>
    <tableColumn id="6" xr3:uid="{00000000-0010-0000-0200-000006000000}" name="نسبة_التغطية"/>
    <tableColumn id="7" xr3:uid="{00000000-0010-0000-0200-000007000000}" name="الوحدة"/>
    <tableColumn id="8" xr3:uid="{00000000-0010-0000-0200-000008000000}" name="calculation_type"/>
    <tableColumn id="9" xr3:uid="{00000000-0010-0000-0200-000009000000}" name="جودة_البيانات"/>
    <tableColumn id="10" xr3:uid="{00000000-0010-0000-0200-00000A000000}" name="الجهة_المصدرة_للبيانات"/>
    <tableColumn id="11" xr3:uid="{00000000-0010-0000-0200-00000B000000}" name="المصدر"/>
    <tableColumn id="12" xr3:uid="{00000000-0010-0000-0200-00000C000000}" name="حالة_المصدر"/>
    <tableColumn id="13" xr3:uid="{00000000-0010-0000-0200-00000D000000}" name="ملاحظات_المصدر"/>
    <tableColumn id="14" xr3:uid="{00000000-0010-0000-0200-00000E000000}" name="ملاحظات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Activities" displayName="T_Activities" ref="A1:K7">
  <autoFilter ref="A1:K7" xr:uid="{00000000-0009-0000-0100-000004000000}"/>
  <tableColumns count="11">
    <tableColumn id="1" xr3:uid="{00000000-0010-0000-0300-000001000000}" name="activity_id"/>
    <tableColumn id="2" xr3:uid="{00000000-0010-0000-0300-000002000000}" name="النشاط"/>
    <tableColumn id="3" xr3:uid="{00000000-0010-0000-0300-000003000000}" name="الطلب"/>
    <tableColumn id="4" xr3:uid="{00000000-0010-0000-0300-000004000000}" name="الوحدة"/>
    <tableColumn id="5" xr3:uid="{00000000-0010-0000-0300-000005000000}" name="الترتيب"/>
    <tableColumn id="6" xr3:uid="{00000000-0010-0000-0300-000006000000}" name="جودة_البيانات"/>
    <tableColumn id="7" xr3:uid="{00000000-0010-0000-0300-000007000000}" name="الجهة_المصدرة_للبيانات"/>
    <tableColumn id="8" xr3:uid="{00000000-0010-0000-0300-000008000000}" name="المصدر"/>
    <tableColumn id="9" xr3:uid="{00000000-0010-0000-0300-000009000000}" name="حالة_المصدر"/>
    <tableColumn id="10" xr3:uid="{00000000-0010-0000-0300-00000A000000}" name="ملاحظات_المصدر"/>
    <tableColumn id="11" xr3:uid="{00000000-0010-0000-0300-00000B000000}" name="ملاحظات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Licensing" displayName="T_Licensing" ref="A1:P4">
  <autoFilter ref="A1:P4" xr:uid="{00000000-0009-0000-0100-000005000000}"/>
  <tableColumns count="16">
    <tableColumn id="1" xr3:uid="{00000000-0010-0000-0400-000001000000}" name="metric_id"/>
    <tableColumn id="2" xr3:uid="{00000000-0010-0000-0400-000002000000}" name="المؤشر"/>
    <tableColumn id="3" xr3:uid="{00000000-0010-0000-0400-000003000000}" name="القيمة_الحالية"/>
    <tableColumn id="4" xr3:uid="{00000000-0010-0000-0400-000004000000}" name="قيمة_خط_الأساس"/>
    <tableColumn id="5" xr3:uid="{00000000-0010-0000-0400-000005000000}" name="التغير"/>
    <tableColumn id="6" xr3:uid="{00000000-0010-0000-0400-000006000000}" name="نسبة_التغير"/>
    <tableColumn id="7" xr3:uid="{00000000-0010-0000-0400-000007000000}" name="الوحدة"/>
    <tableColumn id="8" xr3:uid="{00000000-0010-0000-0400-000008000000}" name="تاريخ_خط_الأساس"/>
    <tableColumn id="9" xr3:uid="{00000000-0010-0000-0400-000009000000}" name="تاريخ_القيمة_الحالية"/>
    <tableColumn id="10" xr3:uid="{00000000-0010-0000-0400-00000A000000}" name="calculation_type"/>
    <tableColumn id="11" xr3:uid="{00000000-0010-0000-0400-00000B000000}" name="جودة_البيانات"/>
    <tableColumn id="12" xr3:uid="{00000000-0010-0000-0400-00000C000000}" name="الجهة_المصدرة_للبيانات"/>
    <tableColumn id="13" xr3:uid="{00000000-0010-0000-0400-00000D000000}" name="المصدر"/>
    <tableColumn id="14" xr3:uid="{00000000-0010-0000-0400-00000E000000}" name="حالة_المصدر"/>
    <tableColumn id="15" xr3:uid="{00000000-0010-0000-0400-00000F000000}" name="ملاحظات_المصدر"/>
    <tableColumn id="16" xr3:uid="{00000000-0010-0000-0400-000010000000}" name="ملاحظات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LicMonthly" displayName="T_LicMonthly" ref="A1:K14">
  <autoFilter ref="A1:K14" xr:uid="{00000000-0009-0000-0100-000006000000}"/>
  <tableColumns count="11">
    <tableColumn id="1" xr3:uid="{00000000-0010-0000-0500-000001000000}" name="month_id"/>
    <tableColumn id="2" xr3:uid="{00000000-0010-0000-0500-000002000000}" name="الشهر"/>
    <tableColumn id="3" xr3:uid="{00000000-0010-0000-0500-000003000000}" name="التاريخ"/>
    <tableColumn id="4" xr3:uid="{00000000-0010-0000-0500-000004000000}" name="رخص_البناء_الجديدة"/>
    <tableColumn id="5" xr3:uid="{00000000-0010-0000-0500-000005000000}" name="الرخص_التشغيلية_الجديدة"/>
    <tableColumn id="6" xr3:uid="{00000000-0010-0000-0500-000006000000}" name="الطاقة_الاستيعابية_المضافة"/>
    <tableColumn id="7" xr3:uid="{00000000-0010-0000-0500-000007000000}" name="رخص_البناء_التراكمية"/>
    <tableColumn id="8" xr3:uid="{00000000-0010-0000-0500-000008000000}" name="الرخص_التشغيلية_التراكمية"/>
    <tableColumn id="9" xr3:uid="{00000000-0010-0000-0500-000009000000}" name="الطاقة_الاستيعابية_التراكمية"/>
    <tableColumn id="10" xr3:uid="{00000000-0010-0000-0500-00000A000000}" name="جودة_البيانات"/>
    <tableColumn id="11" xr3:uid="{00000000-0010-0000-0500-00000B000000}" name="ملاحظات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LicSector" displayName="T_LicSector" ref="A1:M7">
  <autoFilter ref="A1:M7" xr:uid="{00000000-0009-0000-0100-000007000000}"/>
  <tableColumns count="13">
    <tableColumn id="1" xr3:uid="{00000000-0010-0000-0600-000001000000}" name="sector_id"/>
    <tableColumn id="2" xr3:uid="{00000000-0010-0000-0600-000002000000}" name="القطاع"/>
    <tableColumn id="3" xr3:uid="{00000000-0010-0000-0600-000003000000}" name="رخص_البناء"/>
    <tableColumn id="4" xr3:uid="{00000000-0010-0000-0600-000004000000}" name="الرخص_التشغيلية"/>
    <tableColumn id="5" xr3:uid="{00000000-0010-0000-0600-000005000000}" name="إجمالي_الرخص"/>
    <tableColumn id="6" xr3:uid="{00000000-0010-0000-0600-000006000000}" name="الطاقة_الاستيعابية"/>
    <tableColumn id="7" xr3:uid="{00000000-0010-0000-0600-000007000000}" name="calculation_type"/>
    <tableColumn id="8" xr3:uid="{00000000-0010-0000-0600-000008000000}" name="جودة_البيانات"/>
    <tableColumn id="9" xr3:uid="{00000000-0010-0000-0600-000009000000}" name="الجهة_المصدرة_للبيانات"/>
    <tableColumn id="10" xr3:uid="{00000000-0010-0000-0600-00000A000000}" name="المصدر"/>
    <tableColumn id="11" xr3:uid="{00000000-0010-0000-0600-00000B000000}" name="حالة_المصدر"/>
    <tableColumn id="12" xr3:uid="{00000000-0010-0000-0600-00000C000000}" name="ملاحظات_المصدر"/>
    <tableColumn id="13" xr3:uid="{00000000-0010-0000-0600-00000D000000}" name="ملاحظات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Types" displayName="T_Types" ref="A1:M4">
  <autoFilter ref="A1:M4" xr:uid="{00000000-0009-0000-0100-000008000000}"/>
  <tableColumns count="13">
    <tableColumn id="1" xr3:uid="{00000000-0010-0000-0700-000001000000}" name="housing_type_id"/>
    <tableColumn id="2" xr3:uid="{00000000-0010-0000-0700-000002000000}" name="نوع_السكن"/>
    <tableColumn id="3" xr3:uid="{00000000-0010-0000-0700-000003000000}" name="عدد_الرخص"/>
    <tableColumn id="4" xr3:uid="{00000000-0010-0000-0700-000004000000}" name="الطاقة_الاستيعابية"/>
    <tableColumn id="5" xr3:uid="{00000000-0010-0000-0700-000005000000}" name="الوحدة"/>
    <tableColumn id="6" xr3:uid="{00000000-0010-0000-0700-000006000000}" name="الترتيب"/>
    <tableColumn id="7" xr3:uid="{00000000-0010-0000-0700-000007000000}" name="icon_key"/>
    <tableColumn id="8" xr3:uid="{00000000-0010-0000-0700-000008000000}" name="جودة_البيانات"/>
    <tableColumn id="9" xr3:uid="{00000000-0010-0000-0700-000009000000}" name="الجهة_المصدرة_للبيانات"/>
    <tableColumn id="10" xr3:uid="{00000000-0010-0000-0700-00000A000000}" name="المصدر"/>
    <tableColumn id="11" xr3:uid="{00000000-0010-0000-0700-00000B000000}" name="حالة_المصدر"/>
    <tableColumn id="12" xr3:uid="{00000000-0010-0000-0700-00000C000000}" name="ملاحظات_المصدر"/>
    <tableColumn id="13" xr3:uid="{00000000-0010-0000-0700-00000D000000}" name="ملاحظات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Control" displayName="T_Control" ref="A1:M6">
  <autoFilter ref="A1:M6" xr:uid="{00000000-0009-0000-0100-000009000000}"/>
  <tableColumns count="13">
    <tableColumn id="1" xr3:uid="{00000000-0010-0000-0800-000001000000}" name="metric_id"/>
    <tableColumn id="2" xr3:uid="{00000000-0010-0000-0800-000002000000}" name="المؤشر"/>
    <tableColumn id="3" xr3:uid="{00000000-0010-0000-0800-000003000000}" name="القيمة"/>
    <tableColumn id="4" xr3:uid="{00000000-0010-0000-0800-000004000000}" name="الوحدة"/>
    <tableColumn id="5" xr3:uid="{00000000-0010-0000-0800-000005000000}" name="الفترة"/>
    <tableColumn id="6" xr3:uid="{00000000-0010-0000-0800-000006000000}" name="calculation_type"/>
    <tableColumn id="7" xr3:uid="{00000000-0010-0000-0800-000007000000}" name="calculation_rule"/>
    <tableColumn id="8" xr3:uid="{00000000-0010-0000-0800-000008000000}" name="جودة_البيانات"/>
    <tableColumn id="9" xr3:uid="{00000000-0010-0000-0800-000009000000}" name="الجهة_المصدرة_للبيانات"/>
    <tableColumn id="10" xr3:uid="{00000000-0010-0000-0800-00000A000000}" name="المصدر"/>
    <tableColumn id="11" xr3:uid="{00000000-0010-0000-0800-00000B000000}" name="حالة_المصدر"/>
    <tableColumn id="12" xr3:uid="{00000000-0010-0000-0800-00000C000000}" name="ملاحظات_المصدر"/>
    <tableColumn id="13" xr3:uid="{00000000-0010-0000-0800-00000D000000}" name="ملاحظات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CtrlSector" displayName="T_CtrlSector" ref="A1:L6">
  <autoFilter ref="A1:L6" xr:uid="{00000000-0009-0000-0100-00000A000000}"/>
  <tableColumns count="12">
    <tableColumn id="1" xr3:uid="{00000000-0010-0000-0900-000001000000}" name="sector_id"/>
    <tableColumn id="2" xr3:uid="{00000000-0010-0000-0900-000002000000}" name="القطاع"/>
    <tableColumn id="3" xr3:uid="{00000000-0010-0000-0900-000003000000}" name="عدد_المراقبين"/>
    <tableColumn id="4" xr3:uid="{00000000-0010-0000-0900-000004000000}" name="عدد_الزيارات"/>
    <tableColumn id="5" xr3:uid="{00000000-0010-0000-0900-000005000000}" name="عدد_المخالفات"/>
    <tableColumn id="6" xr3:uid="{00000000-0010-0000-0900-000006000000}" name="عدد_الإغلاقات"/>
    <tableColumn id="7" xr3:uid="{00000000-0010-0000-0900-000007000000}" name="جودة_البيانات"/>
    <tableColumn id="8" xr3:uid="{00000000-0010-0000-0900-000008000000}" name="الجهة_المصدرة_للبيانات"/>
    <tableColumn id="9" xr3:uid="{00000000-0010-0000-0900-000009000000}" name="المصدر"/>
    <tableColumn id="10" xr3:uid="{00000000-0010-0000-0900-00000A000000}" name="حالة_المصدر"/>
    <tableColumn id="11" xr3:uid="{00000000-0010-0000-0900-00000B000000}" name="ملاحظات_المصدر"/>
    <tableColumn id="12" xr3:uid="{00000000-0010-0000-0900-00000C000000}" name="ملاحظات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ViolTypes" displayName="T_ViolTypes" ref="A1:J7">
  <autoFilter ref="A1:J7" xr:uid="{00000000-0009-0000-0100-00000B000000}"/>
  <tableColumns count="10">
    <tableColumn id="1" xr3:uid="{00000000-0010-0000-0A00-000001000000}" name="violation_type_id"/>
    <tableColumn id="2" xr3:uid="{00000000-0010-0000-0A00-000002000000}" name="نوع_المخالفة"/>
    <tableColumn id="3" xr3:uid="{00000000-0010-0000-0A00-000003000000}" name="عدد_المخالفات"/>
    <tableColumn id="4" xr3:uid="{00000000-0010-0000-0A00-000004000000}" name="الترتيب"/>
    <tableColumn id="5" xr3:uid="{00000000-0010-0000-0A00-000005000000}" name="جودة_البيانات"/>
    <tableColumn id="6" xr3:uid="{00000000-0010-0000-0A00-000006000000}" name="الجهة_المصدرة_للبيانات"/>
    <tableColumn id="7" xr3:uid="{00000000-0010-0000-0A00-000007000000}" name="المصدر"/>
    <tableColumn id="8" xr3:uid="{00000000-0010-0000-0A00-000008000000}" name="حالة_المصدر"/>
    <tableColumn id="9" xr3:uid="{00000000-0010-0000-0A00-000009000000}" name="ملاحظات_المصدر"/>
    <tableColumn id="10" xr3:uid="{00000000-0010-0000-0A00-00000A000000}" name="ملاحظات"/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Hoods" displayName="T_Hoods" ref="A1:Q21">
  <autoFilter ref="A1:Q21" xr:uid="{00000000-0009-0000-0100-00000C000000}"/>
  <tableColumns count="17">
    <tableColumn id="1" xr3:uid="{00000000-0010-0000-0B00-000001000000}" name="neighborhood_id"/>
    <tableColumn id="2" xr3:uid="{00000000-0010-0000-0B00-000002000000}" name="الحي"/>
    <tableColumn id="3" xr3:uid="{00000000-0010-0000-0B00-000003000000}" name="sector_id"/>
    <tableColumn id="4" xr3:uid="{00000000-0010-0000-0B00-000004000000}" name="القطاع"/>
    <tableColumn id="5" xr3:uid="{00000000-0010-0000-0B00-000005000000}" name="رخص_البناء"/>
    <tableColumn id="6" xr3:uid="{00000000-0010-0000-0B00-000006000000}" name="الرخص_التشغيلية"/>
    <tableColumn id="7" xr3:uid="{00000000-0010-0000-0B00-000007000000}" name="الطاقة_الاستيعابية"/>
    <tableColumn id="8" xr3:uid="{00000000-0010-0000-0B00-000008000000}" name="عدد_المخالفات"/>
    <tableColumn id="9" xr3:uid="{00000000-0010-0000-0B00-000009000000}" name="عدد_الزيارات"/>
    <tableColumn id="10" xr3:uid="{00000000-0010-0000-0B00-00000A000000}" name="خط_العرض"/>
    <tableColumn id="11" xr3:uid="{00000000-0010-0000-0B00-00000B000000}" name="خط_الطول"/>
    <tableColumn id="12" xr3:uid="{00000000-0010-0000-0B00-00000C000000}" name="جودة_البيانات"/>
    <tableColumn id="13" xr3:uid="{00000000-0010-0000-0B00-00000D000000}" name="الجهة_المصدرة_للبيانات"/>
    <tableColumn id="14" xr3:uid="{00000000-0010-0000-0B00-00000E000000}" name="المصدر"/>
    <tableColumn id="15" xr3:uid="{00000000-0010-0000-0B00-00000F000000}" name="حالة_المصدر"/>
    <tableColumn id="16" xr3:uid="{00000000-0010-0000-0B00-000010000000}" name="ملاحظات_المصدر"/>
    <tableColumn id="17" xr3:uid="{00000000-0010-0000-0B00-000011000000}" name="ملاحظات"/>
  </tableColumns>
  <tableStyleInfo name="TableStyleLight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Inis" displayName="T_Inis" ref="A1:P19">
  <autoFilter ref="A1:P19" xr:uid="{00000000-0009-0000-0100-00000D000000}"/>
  <tableColumns count="16">
    <tableColumn id="1" xr3:uid="{00000000-0010-0000-0C00-000001000000}" name="initiative_id"/>
    <tableColumn id="2" xr3:uid="{00000000-0010-0000-0C00-000002000000}" name="رقم_المبادرة"/>
    <tableColumn id="3" xr3:uid="{00000000-0010-0000-0C00-000003000000}" name="اسم_المبادرة"/>
    <tableColumn id="4" xr3:uid="{00000000-0010-0000-0C00-000004000000}" name="goal_id"/>
    <tableColumn id="5" xr3:uid="{00000000-0010-0000-0C00-000005000000}" name="الهدف"/>
    <tableColumn id="6" xr3:uid="{00000000-0010-0000-0C00-000006000000}" name="الحالة_في_الملف"/>
    <tableColumn id="7" xr3:uid="{00000000-0010-0000-0C00-000007000000}" name="الحالة_المعروضة_حالياً"/>
    <tableColumn id="8" xr3:uid="{00000000-0010-0000-0C00-000008000000}" name="تاريخ_البدء"/>
    <tableColumn id="9" xr3:uid="{00000000-0010-0000-0C00-000009000000}" name="تاريخ_الانتهاء"/>
    <tableColumn id="10" xr3:uid="{00000000-0010-0000-0C00-00000A000000}" name="الجهة_المسؤولة"/>
    <tableColumn id="11" xr3:uid="{00000000-0010-0000-0C00-00000B000000}" name="جودة_البيانات"/>
    <tableColumn id="12" xr3:uid="{00000000-0010-0000-0C00-00000C000000}" name="الجهة_المصدرة_للبيانات"/>
    <tableColumn id="13" xr3:uid="{00000000-0010-0000-0C00-00000D000000}" name="المصدر"/>
    <tableColumn id="14" xr3:uid="{00000000-0010-0000-0C00-00000E000000}" name="حالة_المصدر"/>
    <tableColumn id="15" xr3:uid="{00000000-0010-0000-0C00-00000F000000}" name="ملاحظات_المصدر"/>
    <tableColumn id="16" xr3:uid="{00000000-0010-0000-0C00-000010000000}" name="ملاحظات"/>
  </tableColumns>
  <tableStyleInfo name="TableStyleLight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Plan" displayName="T_Plan" ref="A1:P19">
  <autoFilter ref="A1:P19" xr:uid="{00000000-0009-0000-0100-00000E000000}"/>
  <tableColumns count="16">
    <tableColumn id="1" xr3:uid="{00000000-0010-0000-0D00-000001000000}" name="plan_item_id"/>
    <tableColumn id="2" xr3:uid="{00000000-0010-0000-0D00-000002000000}" name="initiative_id"/>
    <tableColumn id="3" xr3:uid="{00000000-0010-0000-0D00-000003000000}" name="رقم_المبادرة"/>
    <tableColumn id="4" xr3:uid="{00000000-0010-0000-0D00-000004000000}" name="المبادرة"/>
    <tableColumn id="5" xr3:uid="{00000000-0010-0000-0D00-000005000000}" name="اسم_النشاط"/>
    <tableColumn id="6" xr3:uid="{00000000-0010-0000-0D00-000006000000}" name="تاريخ_البدء"/>
    <tableColumn id="7" xr3:uid="{00000000-0010-0000-0D00-000007000000}" name="تاريخ_الانتهاء"/>
    <tableColumn id="8" xr3:uid="{00000000-0010-0000-0D00-000008000000}" name="الحالة"/>
    <tableColumn id="9" xr3:uid="{00000000-0010-0000-0D00-000009000000}" name="الجهة_المسؤولة"/>
    <tableColumn id="10" xr3:uid="{00000000-0010-0000-0D00-00000A000000}" name="الترتيب"/>
    <tableColumn id="11" xr3:uid="{00000000-0010-0000-0D00-00000B000000}" name="جودة_البيانات"/>
    <tableColumn id="12" xr3:uid="{00000000-0010-0000-0D00-00000C000000}" name="الجهة_المصدرة_للبيانات"/>
    <tableColumn id="13" xr3:uid="{00000000-0010-0000-0D00-00000D000000}" name="المصدر"/>
    <tableColumn id="14" xr3:uid="{00000000-0010-0000-0D00-00000E000000}" name="حالة_المصدر"/>
    <tableColumn id="15" xr3:uid="{00000000-0010-0000-0D00-00000F000000}" name="ملاحظات_المصدر"/>
    <tableColumn id="16" xr3:uid="{00000000-0010-0000-0D00-000010000000}" name="ملاحظات"/>
  </tableColumns>
  <tableStyleInfo name="TableStyleLight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_KPIs" displayName="T_KPIs" ref="A1:Q15">
  <autoFilter ref="A1:Q15" xr:uid="{00000000-0009-0000-0100-00000F000000}"/>
  <tableColumns count="17">
    <tableColumn id="1" xr3:uid="{00000000-0010-0000-0E00-000001000000}" name="kpi_id"/>
    <tableColumn id="2" xr3:uid="{00000000-0010-0000-0E00-000002000000}" name="اسم_المؤشر"/>
    <tableColumn id="3" xr3:uid="{00000000-0010-0000-0E00-000003000000}" name="goal_id"/>
    <tableColumn id="4" xr3:uid="{00000000-0010-0000-0E00-000004000000}" name="الهدف"/>
    <tableColumn id="5" xr3:uid="{00000000-0010-0000-0E00-000005000000}" name="خط_الأساس"/>
    <tableColumn id="6" xr3:uid="{00000000-0010-0000-0E00-000006000000}" name="القيمة_الحالية"/>
    <tableColumn id="7" xr3:uid="{00000000-0010-0000-0E00-000007000000}" name="المستهدف"/>
    <tableColumn id="8" xr3:uid="{00000000-0010-0000-0E00-000008000000}" name="الوحدة"/>
    <tableColumn id="9" xr3:uid="{00000000-0010-0000-0E00-000009000000}" name="نوع_المؤشر"/>
    <tableColumn id="10" xr3:uid="{00000000-0010-0000-0E00-00000A000000}" name="اتجاه_الأداء"/>
    <tableColumn id="11" xr3:uid="{00000000-0010-0000-0E00-00000B000000}" name="الفترة"/>
    <tableColumn id="12" xr3:uid="{00000000-0010-0000-0E00-00000C000000}" name="جودة_البيانات"/>
    <tableColumn id="13" xr3:uid="{00000000-0010-0000-0E00-00000D000000}" name="الجهة_المصدرة_للبيانات"/>
    <tableColumn id="14" xr3:uid="{00000000-0010-0000-0E00-00000E000000}" name="المصدر"/>
    <tableColumn id="15" xr3:uid="{00000000-0010-0000-0E00-00000F000000}" name="حالة_المصدر"/>
    <tableColumn id="16" xr3:uid="{00000000-0010-0000-0E00-000010000000}" name="ملاحظات_المصدر"/>
    <tableColumn id="17" xr3:uid="{00000000-0010-0000-0E00-000011000000}" name="ملاحظات"/>
  </tableColumns>
  <tableStyleInfo name="TableStyleLight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_CtrlMonthly" displayName="T_CtrlMonthly" ref="A1:K13">
  <autoFilter ref="A1:K13" xr:uid="{00000000-0009-0000-0100-000010000000}"/>
  <tableColumns count="11">
    <tableColumn id="1" xr3:uid="{00000000-0010-0000-0F00-000001000000}" name="month_id"/>
    <tableColumn id="2" xr3:uid="{00000000-0010-0000-0F00-000002000000}" name="الشهر"/>
    <tableColumn id="3" xr3:uid="{00000000-0010-0000-0F00-000003000000}" name="التاريخ"/>
    <tableColumn id="4" xr3:uid="{00000000-0010-0000-0F00-000004000000}" name="الزيارات_الرقابية"/>
    <tableColumn id="5" xr3:uid="{00000000-0010-0000-0F00-000005000000}" name="المخالفات"/>
    <tableColumn id="6" xr3:uid="{00000000-0010-0000-0F00-000006000000}" name="جودة_البيانات"/>
    <tableColumn id="7" xr3:uid="{00000000-0010-0000-0F00-000007000000}" name="الجهة_المصدرة_للبيانات"/>
    <tableColumn id="8" xr3:uid="{00000000-0010-0000-0F00-000008000000}" name="المصدر"/>
    <tableColumn id="9" xr3:uid="{00000000-0010-0000-0F00-000009000000}" name="حالة_المصدر"/>
    <tableColumn id="10" xr3:uid="{00000000-0010-0000-0F00-00000A000000}" name="ملاحظات_المصدر"/>
    <tableColumn id="11" xr3:uid="{00000000-0010-0000-0F00-00000B000000}" name="ملاحظات"/>
  </tableColumns>
  <tableStyleInfo name="TableStyleLight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_Sources" displayName="T_Sources" ref="A1:H11">
  <autoFilter ref="A1:H11" xr:uid="{00000000-0009-0000-0100-000011000000}"/>
  <tableColumns count="8">
    <tableColumn id="1" xr3:uid="{00000000-0010-0000-1000-000001000000}" name="dataset_id"/>
    <tableColumn id="2" xr3:uid="{00000000-0010-0000-1000-000002000000}" name="البند"/>
    <tableColumn id="3" xr3:uid="{00000000-0010-0000-1000-000003000000}" name="القسم_في_اللوحة"/>
    <tableColumn id="4" xr3:uid="{00000000-0010-0000-1000-000004000000}" name="الورقة/العمود"/>
    <tableColumn id="5" xr3:uid="{00000000-0010-0000-1000-000005000000}" name="الجهة_المصدرة_للبيانات"/>
    <tableColumn id="6" xr3:uid="{00000000-0010-0000-1000-000006000000}" name="المصدر"/>
    <tableColumn id="7" xr3:uid="{00000000-0010-0000-1000-000007000000}" name="حالة_المصدر"/>
    <tableColumn id="8" xr3:uid="{00000000-0010-0000-1000-000008000000}" name="ملاحظات_المصدر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3"/>
  <sheetViews>
    <sheetView showGridLines="0" rightToLeft="1" topLeftCell="B1" workbookViewId="0"/>
  </sheetViews>
  <sheetFormatPr baseColWidth="10" defaultColWidth="8.83203125" defaultRowHeight="15" x14ac:dyDescent="0.2"/>
  <cols>
    <col min="1" max="1" width="4" customWidth="1"/>
    <col min="2" max="2" width="34" customWidth="1"/>
    <col min="3" max="3" width="112" customWidth="1"/>
  </cols>
  <sheetData>
    <row r="1" spans="2:3" ht="17" x14ac:dyDescent="0.2">
      <c r="B1" s="1" t="s">
        <v>0</v>
      </c>
    </row>
    <row r="2" spans="2:3" x14ac:dyDescent="0.2">
      <c r="B2" s="2" t="s">
        <v>1</v>
      </c>
      <c r="C2" s="2" t="s">
        <v>2</v>
      </c>
    </row>
    <row r="3" spans="2:3" x14ac:dyDescent="0.2">
      <c r="B3" s="2" t="s">
        <v>3</v>
      </c>
      <c r="C3" s="2" t="s">
        <v>4</v>
      </c>
    </row>
    <row r="5" spans="2:3" ht="17" x14ac:dyDescent="0.2">
      <c r="B5" s="1" t="s">
        <v>5</v>
      </c>
    </row>
    <row r="6" spans="2:3" x14ac:dyDescent="0.2">
      <c r="B6" s="3" t="s">
        <v>6</v>
      </c>
      <c r="C6" s="4" t="s">
        <v>7</v>
      </c>
    </row>
    <row r="7" spans="2:3" x14ac:dyDescent="0.2">
      <c r="B7" s="5" t="s">
        <v>8</v>
      </c>
      <c r="C7" s="2" t="s">
        <v>9</v>
      </c>
    </row>
    <row r="8" spans="2:3" x14ac:dyDescent="0.2">
      <c r="B8" s="6" t="s">
        <v>10</v>
      </c>
      <c r="C8" s="7" t="s">
        <v>11</v>
      </c>
    </row>
    <row r="9" spans="2:3" x14ac:dyDescent="0.2">
      <c r="B9" s="2" t="s">
        <v>12</v>
      </c>
      <c r="C9" s="2" t="s">
        <v>13</v>
      </c>
    </row>
    <row r="10" spans="2:3" x14ac:dyDescent="0.2">
      <c r="B10" s="2" t="s">
        <v>14</v>
      </c>
      <c r="C10" s="2" t="s">
        <v>15</v>
      </c>
    </row>
    <row r="12" spans="2:3" ht="17" x14ac:dyDescent="0.2">
      <c r="B12" s="1" t="s">
        <v>16</v>
      </c>
    </row>
    <row r="13" spans="2:3" ht="28" x14ac:dyDescent="0.2">
      <c r="B13" s="7" t="s">
        <v>17</v>
      </c>
      <c r="C13" s="7" t="s">
        <v>18</v>
      </c>
    </row>
    <row r="14" spans="2:3" x14ac:dyDescent="0.2">
      <c r="B14" s="7" t="s">
        <v>19</v>
      </c>
      <c r="C14" s="7" t="s">
        <v>20</v>
      </c>
    </row>
    <row r="15" spans="2:3" x14ac:dyDescent="0.2">
      <c r="B15" s="2" t="s">
        <v>21</v>
      </c>
      <c r="C15" s="2" t="s">
        <v>22</v>
      </c>
    </row>
    <row r="16" spans="2:3" x14ac:dyDescent="0.2">
      <c r="B16" s="2" t="s">
        <v>23</v>
      </c>
      <c r="C16" s="2" t="s">
        <v>24</v>
      </c>
    </row>
    <row r="17" spans="2:3" x14ac:dyDescent="0.2">
      <c r="B17" s="2" t="s">
        <v>25</v>
      </c>
      <c r="C17" s="2" t="s">
        <v>26</v>
      </c>
    </row>
    <row r="19" spans="2:3" ht="17" x14ac:dyDescent="0.2">
      <c r="B19" s="1" t="s">
        <v>27</v>
      </c>
    </row>
    <row r="20" spans="2:3" x14ac:dyDescent="0.2">
      <c r="B20" s="5" t="s">
        <v>28</v>
      </c>
      <c r="C20" s="2" t="s">
        <v>29</v>
      </c>
    </row>
    <row r="21" spans="2:3" x14ac:dyDescent="0.2">
      <c r="B21" s="8" t="s">
        <v>30</v>
      </c>
      <c r="C21" s="8" t="s">
        <v>31</v>
      </c>
    </row>
    <row r="22" spans="2:3" x14ac:dyDescent="0.2">
      <c r="B22" s="2" t="s">
        <v>32</v>
      </c>
      <c r="C22" s="2" t="s">
        <v>33</v>
      </c>
    </row>
    <row r="23" spans="2:3" x14ac:dyDescent="0.2">
      <c r="B23" s="2" t="s">
        <v>34</v>
      </c>
      <c r="C23" s="2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rightToLeft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3" width="14" customWidth="1"/>
    <col min="4" max="4" width="9" customWidth="1"/>
    <col min="5" max="5" width="18" customWidth="1"/>
    <col min="6" max="7" width="13" customWidth="1"/>
    <col min="8" max="8" width="24" customWidth="1"/>
    <col min="9" max="9" width="20" customWidth="1"/>
    <col min="10" max="10" width="12" customWidth="1"/>
    <col min="11" max="11" width="24" customWidth="1"/>
    <col min="12" max="12" width="40" customWidth="1"/>
  </cols>
  <sheetData>
    <row r="1" spans="1:12" x14ac:dyDescent="0.2">
      <c r="A1" s="9" t="s">
        <v>36</v>
      </c>
      <c r="B1" s="9" t="s">
        <v>37</v>
      </c>
      <c r="C1" s="9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10" t="s">
        <v>43</v>
      </c>
      <c r="I1" s="10" t="s">
        <v>44</v>
      </c>
      <c r="J1" s="10" t="s">
        <v>45</v>
      </c>
      <c r="K1" s="10" t="s">
        <v>46</v>
      </c>
      <c r="L1" s="9" t="s">
        <v>47</v>
      </c>
    </row>
    <row r="2" spans="1:12" x14ac:dyDescent="0.2">
      <c r="A2" s="11" t="s">
        <v>48</v>
      </c>
      <c r="B2" s="11" t="s">
        <v>49</v>
      </c>
      <c r="C2" s="12">
        <v>46251</v>
      </c>
      <c r="D2" s="11" t="s">
        <v>50</v>
      </c>
      <c r="E2" s="11" t="s">
        <v>51</v>
      </c>
      <c r="F2" s="11" t="s">
        <v>52</v>
      </c>
      <c r="G2" s="11" t="s">
        <v>53</v>
      </c>
      <c r="H2" s="11"/>
      <c r="I2" s="11"/>
      <c r="J2" s="11"/>
      <c r="K2" s="11"/>
      <c r="L2" s="11" t="s">
        <v>54</v>
      </c>
    </row>
    <row r="3" spans="1:12" x14ac:dyDescent="0.2">
      <c r="A3" s="11" t="s">
        <v>55</v>
      </c>
      <c r="B3" s="11" t="s">
        <v>56</v>
      </c>
      <c r="C3" s="13" t="s">
        <v>57</v>
      </c>
      <c r="D3" s="11" t="s">
        <v>58</v>
      </c>
      <c r="E3" s="11" t="s">
        <v>51</v>
      </c>
      <c r="F3" s="11" t="s">
        <v>52</v>
      </c>
      <c r="G3" s="11" t="s">
        <v>53</v>
      </c>
      <c r="H3" s="11"/>
      <c r="I3" s="11"/>
      <c r="J3" s="11"/>
      <c r="K3" s="11"/>
      <c r="L3" s="11"/>
    </row>
    <row r="4" spans="1:12" x14ac:dyDescent="0.2">
      <c r="A4" s="11" t="s">
        <v>59</v>
      </c>
      <c r="B4" s="11" t="s">
        <v>60</v>
      </c>
      <c r="C4" s="14">
        <f>'03_العرض_والطلب'!C2</f>
        <v>2800000</v>
      </c>
      <c r="D4" s="11" t="s">
        <v>61</v>
      </c>
      <c r="E4" s="11" t="s">
        <v>57</v>
      </c>
      <c r="F4" s="11" t="s">
        <v>62</v>
      </c>
      <c r="G4" s="11" t="s">
        <v>53</v>
      </c>
      <c r="H4" s="11" t="s">
        <v>63</v>
      </c>
      <c r="I4" s="11"/>
      <c r="J4" s="11" t="s">
        <v>64</v>
      </c>
      <c r="K4" s="11"/>
      <c r="L4" s="11"/>
    </row>
    <row r="5" spans="1:12" x14ac:dyDescent="0.2">
      <c r="A5" s="11" t="s">
        <v>65</v>
      </c>
      <c r="B5" s="11" t="s">
        <v>66</v>
      </c>
      <c r="C5" s="14">
        <f>'07_التراخيص_الشهرية'!I14</f>
        <v>136437</v>
      </c>
      <c r="D5" s="11" t="s">
        <v>67</v>
      </c>
      <c r="E5" s="11" t="s">
        <v>57</v>
      </c>
      <c r="F5" s="11" t="s">
        <v>62</v>
      </c>
      <c r="G5" s="11" t="s">
        <v>53</v>
      </c>
      <c r="H5" s="11" t="s">
        <v>63</v>
      </c>
      <c r="I5" s="11"/>
      <c r="J5" s="11" t="s">
        <v>64</v>
      </c>
      <c r="K5" s="11"/>
      <c r="L5" s="11"/>
    </row>
    <row r="6" spans="1:12" x14ac:dyDescent="0.2">
      <c r="A6" s="11" t="s">
        <v>68</v>
      </c>
      <c r="B6" s="11" t="s">
        <v>69</v>
      </c>
      <c r="C6" s="14">
        <f>'03_العرض_والطلب'!C6</f>
        <v>2663563</v>
      </c>
      <c r="D6" s="11" t="s">
        <v>67</v>
      </c>
      <c r="E6" s="11" t="s">
        <v>57</v>
      </c>
      <c r="F6" s="11" t="s">
        <v>62</v>
      </c>
      <c r="G6" s="11" t="s">
        <v>53</v>
      </c>
      <c r="H6" s="11"/>
      <c r="I6" s="11"/>
      <c r="J6" s="11"/>
      <c r="K6" s="11"/>
      <c r="L6" s="11"/>
    </row>
    <row r="7" spans="1:12" x14ac:dyDescent="0.2">
      <c r="A7" s="11" t="s">
        <v>70</v>
      </c>
      <c r="B7" s="11" t="s">
        <v>71</v>
      </c>
      <c r="C7" s="15">
        <f>'03_العرض_والطلب'!C7</f>
        <v>4.87275E-2</v>
      </c>
      <c r="D7" s="11" t="s">
        <v>72</v>
      </c>
      <c r="E7" s="11" t="s">
        <v>57</v>
      </c>
      <c r="F7" s="11" t="s">
        <v>62</v>
      </c>
      <c r="G7" s="11" t="s">
        <v>53</v>
      </c>
      <c r="H7" s="11"/>
      <c r="I7" s="11"/>
      <c r="J7" s="11"/>
      <c r="K7" s="11"/>
      <c r="L7" s="11"/>
    </row>
    <row r="8" spans="1:12" x14ac:dyDescent="0.2">
      <c r="A8" s="11" t="s">
        <v>73</v>
      </c>
      <c r="B8" s="11" t="s">
        <v>74</v>
      </c>
      <c r="C8" s="14">
        <f>'07_التراخيص_الشهرية'!G14</f>
        <v>165</v>
      </c>
      <c r="D8" s="11" t="s">
        <v>75</v>
      </c>
      <c r="E8" s="11" t="s">
        <v>57</v>
      </c>
      <c r="F8" s="11" t="s">
        <v>62</v>
      </c>
      <c r="G8" s="11" t="s">
        <v>53</v>
      </c>
      <c r="H8" s="11" t="s">
        <v>76</v>
      </c>
      <c r="I8" s="11"/>
      <c r="J8" s="11" t="s">
        <v>77</v>
      </c>
      <c r="K8" s="11"/>
      <c r="L8" s="11"/>
    </row>
    <row r="9" spans="1:12" x14ac:dyDescent="0.2">
      <c r="A9" s="11" t="s">
        <v>78</v>
      </c>
      <c r="B9" s="11" t="s">
        <v>79</v>
      </c>
      <c r="C9" s="14">
        <f>'07_التراخيص_الشهرية'!H14</f>
        <v>715</v>
      </c>
      <c r="D9" s="11" t="s">
        <v>75</v>
      </c>
      <c r="E9" s="11" t="s">
        <v>57</v>
      </c>
      <c r="F9" s="11" t="s">
        <v>62</v>
      </c>
      <c r="G9" s="11" t="s">
        <v>53</v>
      </c>
      <c r="H9" s="11" t="s">
        <v>63</v>
      </c>
      <c r="I9" s="11"/>
      <c r="J9" s="11" t="s">
        <v>64</v>
      </c>
      <c r="K9" s="11" t="s">
        <v>80</v>
      </c>
      <c r="L9" s="11"/>
    </row>
    <row r="10" spans="1:12" x14ac:dyDescent="0.2">
      <c r="A10" s="11" t="s">
        <v>81</v>
      </c>
      <c r="B10" s="11" t="s">
        <v>82</v>
      </c>
      <c r="C10" s="14">
        <f>'11_الرقابة_حسب_القطاع'!C8</f>
        <v>18</v>
      </c>
      <c r="D10" s="11" t="s">
        <v>83</v>
      </c>
      <c r="E10" s="11" t="s">
        <v>57</v>
      </c>
      <c r="F10" s="11" t="s">
        <v>62</v>
      </c>
      <c r="G10" s="11" t="s">
        <v>53</v>
      </c>
      <c r="H10" s="11" t="s">
        <v>63</v>
      </c>
      <c r="I10" s="11"/>
      <c r="J10" s="11" t="s">
        <v>64</v>
      </c>
      <c r="K10" s="11"/>
      <c r="L10" s="11"/>
    </row>
    <row r="11" spans="1:12" x14ac:dyDescent="0.2">
      <c r="A11" s="11" t="s">
        <v>84</v>
      </c>
      <c r="B11" s="11" t="s">
        <v>85</v>
      </c>
      <c r="C11" s="14">
        <f>'11_الرقابة_حسب_القطاع'!E8</f>
        <v>3617</v>
      </c>
      <c r="D11" s="11" t="s">
        <v>86</v>
      </c>
      <c r="E11" s="11" t="s">
        <v>87</v>
      </c>
      <c r="F11" s="11" t="s">
        <v>62</v>
      </c>
      <c r="G11" s="11" t="s">
        <v>53</v>
      </c>
      <c r="H11" s="11" t="s">
        <v>63</v>
      </c>
      <c r="I11" s="11"/>
      <c r="J11" s="11" t="s">
        <v>64</v>
      </c>
      <c r="K11" s="11"/>
      <c r="L11" s="11"/>
    </row>
    <row r="12" spans="1:12" x14ac:dyDescent="0.2">
      <c r="A12" s="11" t="s">
        <v>88</v>
      </c>
      <c r="B12" s="11" t="s">
        <v>89</v>
      </c>
      <c r="C12" s="14">
        <f>'11_الرقابة_حسب_القطاع'!D8</f>
        <v>19651</v>
      </c>
      <c r="D12" s="11" t="s">
        <v>90</v>
      </c>
      <c r="E12" s="11" t="s">
        <v>87</v>
      </c>
      <c r="F12" s="11" t="s">
        <v>62</v>
      </c>
      <c r="G12" s="11" t="s">
        <v>53</v>
      </c>
      <c r="H12" s="11" t="s">
        <v>63</v>
      </c>
      <c r="I12" s="11"/>
      <c r="J12" s="11" t="s">
        <v>64</v>
      </c>
      <c r="K12" s="11"/>
      <c r="L12" s="11"/>
    </row>
    <row r="13" spans="1:12" x14ac:dyDescent="0.2">
      <c r="A13" s="11" t="s">
        <v>91</v>
      </c>
      <c r="B13" s="11" t="s">
        <v>92</v>
      </c>
      <c r="C13" s="15">
        <f>'10_الرقابة'!C5</f>
        <v>0.81599999999999995</v>
      </c>
      <c r="D13" s="11" t="s">
        <v>72</v>
      </c>
      <c r="E13" s="11" t="s">
        <v>87</v>
      </c>
      <c r="F13" s="11" t="s">
        <v>62</v>
      </c>
      <c r="G13" s="11" t="s">
        <v>53</v>
      </c>
      <c r="H13" s="11" t="s">
        <v>63</v>
      </c>
      <c r="I13" s="11"/>
      <c r="J13" s="11" t="s">
        <v>64</v>
      </c>
      <c r="K13" s="11"/>
      <c r="L13" s="11"/>
    </row>
    <row r="14" spans="1:12" x14ac:dyDescent="0.2">
      <c r="A14" s="11" t="s">
        <v>93</v>
      </c>
      <c r="B14" s="11" t="s">
        <v>94</v>
      </c>
      <c r="C14" s="13">
        <v>18</v>
      </c>
      <c r="D14" s="11" t="s">
        <v>95</v>
      </c>
      <c r="E14" s="11" t="s">
        <v>51</v>
      </c>
      <c r="F14" s="11" t="s">
        <v>52</v>
      </c>
      <c r="G14" s="11" t="s">
        <v>96</v>
      </c>
      <c r="H14" s="11"/>
      <c r="I14" s="11"/>
      <c r="J14" s="11"/>
      <c r="K14" s="11"/>
      <c r="L14" s="11" t="s">
        <v>97</v>
      </c>
    </row>
  </sheetData>
  <dataValidations count="1">
    <dataValidation type="list" allowBlank="1" sqref="J2:J14" xr:uid="{00000000-0002-0000-0100-000000000000}">
      <formula1>"معتمد,أولي,يحتاج مراجعة,غير محدد"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rightToLeft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30" customWidth="1"/>
    <col min="3" max="3" width="15" customWidth="1"/>
    <col min="4" max="4" width="9" customWidth="1"/>
    <col min="5" max="5" width="14" customWidth="1"/>
    <col min="6" max="6" width="13" customWidth="1"/>
    <col min="7" max="7" width="28" customWidth="1"/>
    <col min="8" max="8" width="13" customWidth="1"/>
    <col min="9" max="9" width="24" customWidth="1"/>
    <col min="10" max="10" width="22" customWidth="1"/>
    <col min="11" max="11" width="12" customWidth="1"/>
    <col min="12" max="12" width="26" customWidth="1"/>
    <col min="13" max="13" width="34" customWidth="1"/>
  </cols>
  <sheetData>
    <row r="1" spans="1:13" x14ac:dyDescent="0.2">
      <c r="A1" s="9" t="s">
        <v>98</v>
      </c>
      <c r="B1" s="9" t="s">
        <v>99</v>
      </c>
      <c r="C1" s="9" t="s">
        <v>38</v>
      </c>
      <c r="D1" s="9" t="s">
        <v>39</v>
      </c>
      <c r="E1" s="9" t="s">
        <v>40</v>
      </c>
      <c r="F1" s="9" t="s">
        <v>41</v>
      </c>
      <c r="G1" s="9" t="s">
        <v>100</v>
      </c>
      <c r="H1" s="9" t="s">
        <v>42</v>
      </c>
      <c r="I1" s="10" t="s">
        <v>43</v>
      </c>
      <c r="J1" s="10" t="s">
        <v>44</v>
      </c>
      <c r="K1" s="10" t="s">
        <v>45</v>
      </c>
      <c r="L1" s="10" t="s">
        <v>46</v>
      </c>
      <c r="M1" s="9" t="s">
        <v>47</v>
      </c>
    </row>
    <row r="2" spans="1:13" x14ac:dyDescent="0.2">
      <c r="A2" s="11" t="s">
        <v>101</v>
      </c>
      <c r="B2" s="11" t="s">
        <v>60</v>
      </c>
      <c r="C2" s="13">
        <v>2800000</v>
      </c>
      <c r="D2" s="11" t="s">
        <v>61</v>
      </c>
      <c r="E2" s="11" t="s">
        <v>57</v>
      </c>
      <c r="F2" s="11" t="s">
        <v>52</v>
      </c>
      <c r="G2" s="11"/>
      <c r="H2" s="11" t="s">
        <v>53</v>
      </c>
      <c r="I2" s="11" t="s">
        <v>63</v>
      </c>
      <c r="J2" s="11"/>
      <c r="K2" s="11" t="s">
        <v>64</v>
      </c>
      <c r="L2" s="11"/>
      <c r="M2" s="11" t="s">
        <v>102</v>
      </c>
    </row>
    <row r="3" spans="1:13" x14ac:dyDescent="0.2">
      <c r="A3" s="11" t="s">
        <v>103</v>
      </c>
      <c r="B3" s="11" t="s">
        <v>104</v>
      </c>
      <c r="C3" s="13">
        <v>1848000</v>
      </c>
      <c r="D3" s="11" t="s">
        <v>61</v>
      </c>
      <c r="E3" s="11" t="s">
        <v>57</v>
      </c>
      <c r="F3" s="11" t="s">
        <v>52</v>
      </c>
      <c r="G3" s="11"/>
      <c r="H3" s="11" t="s">
        <v>53</v>
      </c>
      <c r="I3" s="11" t="s">
        <v>63</v>
      </c>
      <c r="J3" s="11"/>
      <c r="K3" s="11" t="s">
        <v>64</v>
      </c>
      <c r="L3" s="11"/>
      <c r="M3" s="11"/>
    </row>
    <row r="4" spans="1:13" x14ac:dyDescent="0.2">
      <c r="A4" s="11" t="s">
        <v>105</v>
      </c>
      <c r="B4" s="11" t="s">
        <v>106</v>
      </c>
      <c r="C4" s="13">
        <v>952000</v>
      </c>
      <c r="D4" s="11" t="s">
        <v>61</v>
      </c>
      <c r="E4" s="11" t="s">
        <v>57</v>
      </c>
      <c r="F4" s="11" t="s">
        <v>52</v>
      </c>
      <c r="G4" s="11"/>
      <c r="H4" s="11" t="s">
        <v>53</v>
      </c>
      <c r="I4" s="11" t="s">
        <v>63</v>
      </c>
      <c r="J4" s="11"/>
      <c r="K4" s="11" t="s">
        <v>64</v>
      </c>
      <c r="L4" s="11"/>
      <c r="M4" s="11"/>
    </row>
    <row r="5" spans="1:13" ht="28" x14ac:dyDescent="0.2">
      <c r="A5" s="11" t="s">
        <v>107</v>
      </c>
      <c r="B5" s="11" t="s">
        <v>108</v>
      </c>
      <c r="C5" s="14">
        <f>'07_التراخيص_الشهرية'!I14</f>
        <v>136437</v>
      </c>
      <c r="D5" s="11" t="s">
        <v>67</v>
      </c>
      <c r="E5" s="11" t="s">
        <v>57</v>
      </c>
      <c r="F5" s="11" t="s">
        <v>62</v>
      </c>
      <c r="G5" s="11" t="s">
        <v>109</v>
      </c>
      <c r="H5" s="11" t="s">
        <v>53</v>
      </c>
      <c r="I5" s="11" t="s">
        <v>63</v>
      </c>
      <c r="J5" s="11"/>
      <c r="K5" s="11" t="s">
        <v>64</v>
      </c>
      <c r="L5" s="11" t="s">
        <v>110</v>
      </c>
      <c r="M5" s="11"/>
    </row>
    <row r="6" spans="1:13" x14ac:dyDescent="0.2">
      <c r="A6" s="11" t="s">
        <v>111</v>
      </c>
      <c r="B6" s="11" t="s">
        <v>112</v>
      </c>
      <c r="C6" s="14">
        <f>C2-C5</f>
        <v>2663563</v>
      </c>
      <c r="D6" s="11" t="s">
        <v>67</v>
      </c>
      <c r="E6" s="11" t="s">
        <v>57</v>
      </c>
      <c r="F6" s="11" t="s">
        <v>62</v>
      </c>
      <c r="G6" s="11" t="s">
        <v>113</v>
      </c>
      <c r="H6" s="11" t="s">
        <v>53</v>
      </c>
      <c r="I6" s="11"/>
      <c r="J6" s="11"/>
      <c r="K6" s="11"/>
      <c r="L6" s="11"/>
      <c r="M6" s="11"/>
    </row>
    <row r="7" spans="1:13" x14ac:dyDescent="0.2">
      <c r="A7" s="11" t="s">
        <v>114</v>
      </c>
      <c r="B7" s="11" t="s">
        <v>115</v>
      </c>
      <c r="C7" s="15">
        <f>C5/C2</f>
        <v>4.87275E-2</v>
      </c>
      <c r="D7" s="11" t="s">
        <v>72</v>
      </c>
      <c r="E7" s="11" t="s">
        <v>57</v>
      </c>
      <c r="F7" s="11" t="s">
        <v>62</v>
      </c>
      <c r="G7" s="11" t="s">
        <v>116</v>
      </c>
      <c r="H7" s="11" t="s">
        <v>53</v>
      </c>
      <c r="I7" s="11"/>
      <c r="J7" s="11"/>
      <c r="K7" s="11"/>
      <c r="L7" s="11"/>
      <c r="M7" s="11"/>
    </row>
    <row r="8" spans="1:13" x14ac:dyDescent="0.2">
      <c r="A8" s="11" t="s">
        <v>117</v>
      </c>
      <c r="B8" s="11" t="s">
        <v>118</v>
      </c>
      <c r="C8" s="15">
        <f>C6/C2</f>
        <v>0.95127249999999997</v>
      </c>
      <c r="D8" s="11" t="s">
        <v>72</v>
      </c>
      <c r="E8" s="11" t="s">
        <v>57</v>
      </c>
      <c r="F8" s="11" t="s">
        <v>62</v>
      </c>
      <c r="G8" s="11" t="s">
        <v>119</v>
      </c>
      <c r="H8" s="11" t="s">
        <v>53</v>
      </c>
      <c r="I8" s="11"/>
      <c r="J8" s="11"/>
      <c r="K8" s="11"/>
      <c r="L8" s="11"/>
      <c r="M8" s="11"/>
    </row>
    <row r="9" spans="1:13" x14ac:dyDescent="0.2">
      <c r="A9" s="11" t="s">
        <v>120</v>
      </c>
      <c r="B9" s="11" t="s">
        <v>121</v>
      </c>
      <c r="C9" s="16">
        <f>C2/C5</f>
        <v>20.522292340054385</v>
      </c>
      <c r="D9" s="11" t="s">
        <v>122</v>
      </c>
      <c r="E9" s="11" t="s">
        <v>57</v>
      </c>
      <c r="F9" s="11" t="s">
        <v>62</v>
      </c>
      <c r="G9" s="11" t="s">
        <v>123</v>
      </c>
      <c r="H9" s="11" t="s">
        <v>53</v>
      </c>
      <c r="I9" s="11"/>
      <c r="J9" s="11"/>
      <c r="K9" s="11"/>
      <c r="L9" s="11"/>
      <c r="M9" s="11"/>
    </row>
  </sheetData>
  <dataValidations count="1">
    <dataValidation type="list" allowBlank="1" sqref="K2:K9" xr:uid="{00000000-0002-0000-0200-000000000000}">
      <formula1>"معتمد,أولي,يحتاج مراجعة,غير محدد"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"/>
  <sheetViews>
    <sheetView rightToLeft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2" width="14" customWidth="1"/>
    <col min="3" max="5" width="12" customWidth="1"/>
    <col min="6" max="6" width="11" customWidth="1"/>
    <col min="7" max="7" width="9" customWidth="1"/>
    <col min="8" max="8" width="15" customWidth="1"/>
    <col min="9" max="9" width="13" customWidth="1"/>
    <col min="10" max="10" width="24" customWidth="1"/>
    <col min="11" max="11" width="20" customWidth="1"/>
    <col min="12" max="12" width="12" customWidth="1"/>
    <col min="13" max="13" width="24" customWidth="1"/>
    <col min="14" max="14" width="30" customWidth="1"/>
  </cols>
  <sheetData>
    <row r="1" spans="1:14" x14ac:dyDescent="0.2">
      <c r="A1" s="9" t="s">
        <v>124</v>
      </c>
      <c r="B1" s="9" t="s">
        <v>125</v>
      </c>
      <c r="C1" s="9" t="s">
        <v>126</v>
      </c>
      <c r="D1" s="9" t="s">
        <v>127</v>
      </c>
      <c r="E1" s="9" t="s">
        <v>69</v>
      </c>
      <c r="F1" s="9" t="s">
        <v>128</v>
      </c>
      <c r="G1" s="9" t="s">
        <v>39</v>
      </c>
      <c r="H1" s="9" t="s">
        <v>41</v>
      </c>
      <c r="I1" s="9" t="s">
        <v>42</v>
      </c>
      <c r="J1" s="10" t="s">
        <v>43</v>
      </c>
      <c r="K1" s="10" t="s">
        <v>44</v>
      </c>
      <c r="L1" s="10" t="s">
        <v>45</v>
      </c>
      <c r="M1" s="10" t="s">
        <v>46</v>
      </c>
      <c r="N1" s="9" t="s">
        <v>47</v>
      </c>
    </row>
    <row r="2" spans="1:14" ht="28" x14ac:dyDescent="0.2">
      <c r="A2" s="11" t="s">
        <v>129</v>
      </c>
      <c r="B2" s="11" t="s">
        <v>130</v>
      </c>
      <c r="C2" s="13">
        <v>471710</v>
      </c>
      <c r="D2" s="14">
        <f>'08_التراخيص_حسب_القطاع'!F2</f>
        <v>29081</v>
      </c>
      <c r="E2" s="14">
        <f>C2-D2</f>
        <v>442629</v>
      </c>
      <c r="F2" s="15">
        <f>D2/C2</f>
        <v>6.1650166415806319E-2</v>
      </c>
      <c r="G2" s="11" t="s">
        <v>131</v>
      </c>
      <c r="H2" s="11" t="s">
        <v>132</v>
      </c>
      <c r="I2" s="11" t="s">
        <v>53</v>
      </c>
      <c r="J2" s="11" t="s">
        <v>63</v>
      </c>
      <c r="K2" s="11"/>
      <c r="L2" s="11" t="s">
        <v>64</v>
      </c>
      <c r="M2" s="11"/>
      <c r="N2" s="11" t="s">
        <v>133</v>
      </c>
    </row>
    <row r="3" spans="1:14" ht="28" x14ac:dyDescent="0.2">
      <c r="A3" s="11" t="s">
        <v>134</v>
      </c>
      <c r="B3" s="11" t="s">
        <v>135</v>
      </c>
      <c r="C3" s="13">
        <v>433134</v>
      </c>
      <c r="D3" s="14">
        <f>'08_التراخيص_حسب_القطاع'!F3</f>
        <v>22102</v>
      </c>
      <c r="E3" s="14">
        <f>C3-D3</f>
        <v>411032</v>
      </c>
      <c r="F3" s="15">
        <f>D3/C3</f>
        <v>5.1028088305235794E-2</v>
      </c>
      <c r="G3" s="11" t="s">
        <v>131</v>
      </c>
      <c r="H3" s="11" t="s">
        <v>132</v>
      </c>
      <c r="I3" s="11" t="s">
        <v>53</v>
      </c>
      <c r="J3" s="11" t="s">
        <v>63</v>
      </c>
      <c r="K3" s="11"/>
      <c r="L3" s="11" t="s">
        <v>64</v>
      </c>
      <c r="M3" s="11"/>
      <c r="N3" s="11" t="s">
        <v>133</v>
      </c>
    </row>
    <row r="4" spans="1:14" ht="28" x14ac:dyDescent="0.2">
      <c r="A4" s="11" t="s">
        <v>136</v>
      </c>
      <c r="B4" s="11" t="s">
        <v>137</v>
      </c>
      <c r="C4" s="13">
        <v>478711</v>
      </c>
      <c r="D4" s="14">
        <f>'08_التراخيص_حسب_القطاع'!F4</f>
        <v>9043</v>
      </c>
      <c r="E4" s="14">
        <f>C4-D4</f>
        <v>469668</v>
      </c>
      <c r="F4" s="15">
        <f>D4/C4</f>
        <v>1.8890311691187375E-2</v>
      </c>
      <c r="G4" s="11" t="s">
        <v>131</v>
      </c>
      <c r="H4" s="11" t="s">
        <v>132</v>
      </c>
      <c r="I4" s="11" t="s">
        <v>53</v>
      </c>
      <c r="J4" s="11" t="s">
        <v>63</v>
      </c>
      <c r="K4" s="11"/>
      <c r="L4" s="11" t="s">
        <v>64</v>
      </c>
      <c r="M4" s="11"/>
      <c r="N4" s="11" t="s">
        <v>133</v>
      </c>
    </row>
    <row r="5" spans="1:14" ht="28" x14ac:dyDescent="0.2">
      <c r="A5" s="11" t="s">
        <v>138</v>
      </c>
      <c r="B5" s="11" t="s">
        <v>139</v>
      </c>
      <c r="C5" s="13">
        <v>603504</v>
      </c>
      <c r="D5" s="14">
        <f>'08_التراخيص_حسب_القطاع'!F5</f>
        <v>19673</v>
      </c>
      <c r="E5" s="14">
        <f>C5-D5</f>
        <v>583831</v>
      </c>
      <c r="F5" s="15">
        <f>D5/C5</f>
        <v>3.2597961239693524E-2</v>
      </c>
      <c r="G5" s="11" t="s">
        <v>131</v>
      </c>
      <c r="H5" s="11" t="s">
        <v>132</v>
      </c>
      <c r="I5" s="11" t="s">
        <v>53</v>
      </c>
      <c r="J5" s="11" t="s">
        <v>63</v>
      </c>
      <c r="K5" s="11"/>
      <c r="L5" s="11" t="s">
        <v>64</v>
      </c>
      <c r="M5" s="11"/>
      <c r="N5" s="11" t="s">
        <v>133</v>
      </c>
    </row>
    <row r="6" spans="1:14" ht="28" x14ac:dyDescent="0.2">
      <c r="A6" s="11" t="s">
        <v>140</v>
      </c>
      <c r="B6" s="11" t="s">
        <v>141</v>
      </c>
      <c r="C6" s="13">
        <v>812941</v>
      </c>
      <c r="D6" s="14">
        <f>'08_التراخيص_حسب_القطاع'!F6</f>
        <v>56538</v>
      </c>
      <c r="E6" s="14">
        <f>C6-D6</f>
        <v>756403</v>
      </c>
      <c r="F6" s="15">
        <f>D6/C6</f>
        <v>6.9547482535632962E-2</v>
      </c>
      <c r="G6" s="11" t="s">
        <v>131</v>
      </c>
      <c r="H6" s="11" t="s">
        <v>132</v>
      </c>
      <c r="I6" s="11" t="s">
        <v>53</v>
      </c>
      <c r="J6" s="11" t="s">
        <v>63</v>
      </c>
      <c r="K6" s="11"/>
      <c r="L6" s="11" t="s">
        <v>64</v>
      </c>
      <c r="M6" s="11"/>
      <c r="N6" s="11" t="s">
        <v>133</v>
      </c>
    </row>
    <row r="8" spans="1:14" ht="28" x14ac:dyDescent="0.2">
      <c r="A8" s="11"/>
      <c r="B8" s="17" t="s">
        <v>142</v>
      </c>
      <c r="C8" s="14">
        <f>SUM(C2:C6)</f>
        <v>2800000</v>
      </c>
      <c r="D8" s="14">
        <f>SUM(D2:D6)</f>
        <v>136437</v>
      </c>
      <c r="E8" s="14">
        <f>SUM(E2:E6)</f>
        <v>2663563</v>
      </c>
      <c r="F8" s="15">
        <f>D8/C8</f>
        <v>4.87275E-2</v>
      </c>
      <c r="G8" s="11"/>
      <c r="H8" s="11" t="s">
        <v>62</v>
      </c>
      <c r="I8" s="11"/>
      <c r="J8" s="11"/>
      <c r="K8" s="11"/>
      <c r="L8" s="11"/>
      <c r="M8" s="11"/>
      <c r="N8" s="11" t="s">
        <v>143</v>
      </c>
    </row>
  </sheetData>
  <dataValidations count="1">
    <dataValidation type="list" allowBlank="1" sqref="L2:L6" xr:uid="{00000000-0002-0000-0300-000000000000}">
      <formula1>"معتمد,أولي,يحتاج مراجعة,غير محدد"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"/>
  <sheetViews>
    <sheetView rightToLeft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34" customWidth="1"/>
    <col min="3" max="3" width="14" customWidth="1"/>
    <col min="4" max="4" width="9" customWidth="1"/>
    <col min="5" max="5" width="8" customWidth="1"/>
    <col min="6" max="6" width="13" customWidth="1"/>
    <col min="7" max="7" width="24" customWidth="1"/>
    <col min="8" max="8" width="20" customWidth="1"/>
    <col min="9" max="9" width="12" customWidth="1"/>
    <col min="10" max="10" width="24" customWidth="1"/>
    <col min="11" max="11" width="34" customWidth="1"/>
  </cols>
  <sheetData>
    <row r="1" spans="1:11" x14ac:dyDescent="0.2">
      <c r="A1" s="9" t="s">
        <v>144</v>
      </c>
      <c r="B1" s="9" t="s">
        <v>145</v>
      </c>
      <c r="C1" s="9" t="s">
        <v>126</v>
      </c>
      <c r="D1" s="9" t="s">
        <v>39</v>
      </c>
      <c r="E1" s="9" t="s">
        <v>146</v>
      </c>
      <c r="F1" s="9" t="s">
        <v>42</v>
      </c>
      <c r="G1" s="10" t="s">
        <v>43</v>
      </c>
      <c r="H1" s="10" t="s">
        <v>44</v>
      </c>
      <c r="I1" s="10" t="s">
        <v>45</v>
      </c>
      <c r="J1" s="10" t="s">
        <v>46</v>
      </c>
      <c r="K1" s="9" t="s">
        <v>47</v>
      </c>
    </row>
    <row r="2" spans="1:11" x14ac:dyDescent="0.2">
      <c r="A2" s="11" t="s">
        <v>147</v>
      </c>
      <c r="B2" s="11" t="s">
        <v>148</v>
      </c>
      <c r="C2" s="13">
        <v>1960000</v>
      </c>
      <c r="D2" s="11" t="s">
        <v>61</v>
      </c>
      <c r="E2" s="11">
        <v>1</v>
      </c>
      <c r="F2" s="11" t="s">
        <v>53</v>
      </c>
      <c r="G2" s="11" t="s">
        <v>63</v>
      </c>
      <c r="H2" s="11"/>
      <c r="I2" s="11" t="s">
        <v>64</v>
      </c>
      <c r="J2" s="11"/>
      <c r="K2" s="11" t="s">
        <v>149</v>
      </c>
    </row>
    <row r="3" spans="1:11" x14ac:dyDescent="0.2">
      <c r="A3" s="11" t="s">
        <v>150</v>
      </c>
      <c r="B3" s="11" t="s">
        <v>151</v>
      </c>
      <c r="C3" s="13">
        <v>417200</v>
      </c>
      <c r="D3" s="11" t="s">
        <v>61</v>
      </c>
      <c r="E3" s="11">
        <v>2</v>
      </c>
      <c r="F3" s="11" t="s">
        <v>53</v>
      </c>
      <c r="G3" s="11" t="s">
        <v>63</v>
      </c>
      <c r="H3" s="11"/>
      <c r="I3" s="11" t="s">
        <v>64</v>
      </c>
      <c r="J3" s="11"/>
      <c r="K3" s="11" t="s">
        <v>149</v>
      </c>
    </row>
    <row r="4" spans="1:11" x14ac:dyDescent="0.2">
      <c r="A4" s="11" t="s">
        <v>152</v>
      </c>
      <c r="B4" s="11" t="s">
        <v>153</v>
      </c>
      <c r="C4" s="13">
        <v>364000</v>
      </c>
      <c r="D4" s="11" t="s">
        <v>61</v>
      </c>
      <c r="E4" s="11">
        <v>3</v>
      </c>
      <c r="F4" s="11" t="s">
        <v>53</v>
      </c>
      <c r="G4" s="11" t="s">
        <v>63</v>
      </c>
      <c r="H4" s="11"/>
      <c r="I4" s="11" t="s">
        <v>64</v>
      </c>
      <c r="J4" s="11"/>
      <c r="K4" s="11" t="s">
        <v>149</v>
      </c>
    </row>
    <row r="5" spans="1:11" x14ac:dyDescent="0.2">
      <c r="A5" s="11" t="s">
        <v>154</v>
      </c>
      <c r="B5" s="11" t="s">
        <v>155</v>
      </c>
      <c r="C5" s="13">
        <v>36400</v>
      </c>
      <c r="D5" s="11" t="s">
        <v>61</v>
      </c>
      <c r="E5" s="11">
        <v>4</v>
      </c>
      <c r="F5" s="11" t="s">
        <v>53</v>
      </c>
      <c r="G5" s="11" t="s">
        <v>63</v>
      </c>
      <c r="H5" s="11"/>
      <c r="I5" s="11" t="s">
        <v>64</v>
      </c>
      <c r="J5" s="11"/>
      <c r="K5" s="11" t="s">
        <v>149</v>
      </c>
    </row>
    <row r="6" spans="1:11" x14ac:dyDescent="0.2">
      <c r="A6" s="11" t="s">
        <v>156</v>
      </c>
      <c r="B6" s="11" t="s">
        <v>157</v>
      </c>
      <c r="C6" s="13">
        <v>16800</v>
      </c>
      <c r="D6" s="11" t="s">
        <v>61</v>
      </c>
      <c r="E6" s="11">
        <v>5</v>
      </c>
      <c r="F6" s="11" t="s">
        <v>53</v>
      </c>
      <c r="G6" s="11" t="s">
        <v>63</v>
      </c>
      <c r="H6" s="11"/>
      <c r="I6" s="11" t="s">
        <v>64</v>
      </c>
      <c r="J6" s="11"/>
      <c r="K6" s="11" t="s">
        <v>149</v>
      </c>
    </row>
    <row r="7" spans="1:11" x14ac:dyDescent="0.2">
      <c r="A7" s="11" t="s">
        <v>158</v>
      </c>
      <c r="B7" s="11" t="s">
        <v>159</v>
      </c>
      <c r="C7" s="13">
        <v>5600</v>
      </c>
      <c r="D7" s="11" t="s">
        <v>61</v>
      </c>
      <c r="E7" s="11">
        <v>6</v>
      </c>
      <c r="F7" s="11" t="s">
        <v>53</v>
      </c>
      <c r="G7" s="11" t="s">
        <v>63</v>
      </c>
      <c r="H7" s="11"/>
      <c r="I7" s="11" t="s">
        <v>64</v>
      </c>
      <c r="J7" s="11"/>
      <c r="K7" s="11" t="s">
        <v>149</v>
      </c>
    </row>
    <row r="9" spans="1:11" x14ac:dyDescent="0.2">
      <c r="A9" s="11"/>
      <c r="B9" s="17" t="s">
        <v>142</v>
      </c>
      <c r="C9" s="14">
        <f>SUM(C2:C7)</f>
        <v>2800000</v>
      </c>
      <c r="D9" s="11"/>
      <c r="E9" s="11"/>
      <c r="F9" s="11"/>
      <c r="G9" s="11"/>
      <c r="H9" s="11"/>
      <c r="I9" s="11"/>
      <c r="J9" s="11"/>
      <c r="K9" s="11" t="s">
        <v>160</v>
      </c>
    </row>
  </sheetData>
  <dataValidations count="1">
    <dataValidation type="list" allowBlank="1" sqref="I2:I7" xr:uid="{00000000-0002-0000-0400-000000000000}">
      <formula1>"معتمد,أولي,يحتاج مراجعة,غير محدد"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"/>
  <sheetViews>
    <sheetView rightToLeft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4" width="13" customWidth="1"/>
    <col min="5" max="6" width="11" customWidth="1"/>
    <col min="7" max="7" width="9" customWidth="1"/>
    <col min="8" max="8" width="13" customWidth="1"/>
    <col min="9" max="9" width="15" customWidth="1"/>
    <col min="10" max="10" width="12" customWidth="1"/>
    <col min="11" max="11" width="13" customWidth="1"/>
    <col min="12" max="12" width="26" customWidth="1"/>
    <col min="13" max="13" width="20" customWidth="1"/>
    <col min="14" max="14" width="12" customWidth="1"/>
    <col min="15" max="15" width="30" customWidth="1"/>
    <col min="16" max="16" width="36" customWidth="1"/>
  </cols>
  <sheetData>
    <row r="1" spans="1:16" x14ac:dyDescent="0.2">
      <c r="A1" s="9" t="s">
        <v>98</v>
      </c>
      <c r="B1" s="9" t="s">
        <v>37</v>
      </c>
      <c r="C1" s="9" t="s">
        <v>161</v>
      </c>
      <c r="D1" s="9" t="s">
        <v>162</v>
      </c>
      <c r="E1" s="9" t="s">
        <v>163</v>
      </c>
      <c r="F1" s="9" t="s">
        <v>164</v>
      </c>
      <c r="G1" s="9" t="s">
        <v>39</v>
      </c>
      <c r="H1" s="9" t="s">
        <v>165</v>
      </c>
      <c r="I1" s="9" t="s">
        <v>166</v>
      </c>
      <c r="J1" s="9" t="s">
        <v>41</v>
      </c>
      <c r="K1" s="9" t="s">
        <v>42</v>
      </c>
      <c r="L1" s="10" t="s">
        <v>43</v>
      </c>
      <c r="M1" s="10" t="s">
        <v>44</v>
      </c>
      <c r="N1" s="10" t="s">
        <v>45</v>
      </c>
      <c r="O1" s="10" t="s">
        <v>46</v>
      </c>
      <c r="P1" s="9" t="s">
        <v>47</v>
      </c>
    </row>
    <row r="2" spans="1:16" x14ac:dyDescent="0.2">
      <c r="A2" s="11" t="s">
        <v>167</v>
      </c>
      <c r="B2" s="11" t="s">
        <v>8</v>
      </c>
      <c r="C2" s="14">
        <f>'07_التراخيص_الشهرية'!G14</f>
        <v>165</v>
      </c>
      <c r="D2" s="14">
        <f>'07_التراخيص_الشهرية'!G2</f>
        <v>63</v>
      </c>
      <c r="E2" s="14">
        <f>C2-D2</f>
        <v>102</v>
      </c>
      <c r="F2" s="15">
        <f>E2/D2</f>
        <v>1.6190476190476191</v>
      </c>
      <c r="G2" s="11" t="s">
        <v>75</v>
      </c>
      <c r="H2" s="18">
        <v>45900</v>
      </c>
      <c r="I2" s="18">
        <v>46265</v>
      </c>
      <c r="J2" s="11" t="s">
        <v>62</v>
      </c>
      <c r="K2" s="11" t="s">
        <v>53</v>
      </c>
      <c r="L2" s="11" t="s">
        <v>76</v>
      </c>
      <c r="M2" s="11"/>
      <c r="N2" s="11" t="s">
        <v>77</v>
      </c>
      <c r="O2" s="11"/>
      <c r="P2" s="11" t="s">
        <v>168</v>
      </c>
    </row>
    <row r="3" spans="1:16" ht="28" x14ac:dyDescent="0.2">
      <c r="A3" s="11" t="s">
        <v>169</v>
      </c>
      <c r="B3" s="11" t="s">
        <v>170</v>
      </c>
      <c r="C3" s="14">
        <f>'07_التراخيص_الشهرية'!H14</f>
        <v>715</v>
      </c>
      <c r="D3" s="14">
        <f>'07_التراخيص_الشهرية'!H2</f>
        <v>218</v>
      </c>
      <c r="E3" s="14">
        <f>C3-D3</f>
        <v>497</v>
      </c>
      <c r="F3" s="15">
        <f>E3/D3</f>
        <v>2.2798165137614679</v>
      </c>
      <c r="G3" s="11" t="s">
        <v>75</v>
      </c>
      <c r="H3" s="18">
        <v>45900</v>
      </c>
      <c r="I3" s="18">
        <v>46265</v>
      </c>
      <c r="J3" s="11" t="s">
        <v>62</v>
      </c>
      <c r="K3" s="11" t="s">
        <v>53</v>
      </c>
      <c r="L3" s="11" t="s">
        <v>63</v>
      </c>
      <c r="M3" s="11"/>
      <c r="N3" s="11" t="s">
        <v>64</v>
      </c>
      <c r="O3" s="11" t="s">
        <v>171</v>
      </c>
      <c r="P3" s="11" t="s">
        <v>168</v>
      </c>
    </row>
    <row r="4" spans="1:16" ht="28" x14ac:dyDescent="0.2">
      <c r="A4" s="11" t="s">
        <v>172</v>
      </c>
      <c r="B4" s="11" t="s">
        <v>173</v>
      </c>
      <c r="C4" s="14">
        <f>'07_التراخيص_الشهرية'!I14</f>
        <v>136437</v>
      </c>
      <c r="D4" s="14">
        <f>'07_التراخيص_الشهرية'!I2</f>
        <v>19485</v>
      </c>
      <c r="E4" s="14">
        <f>C4-D4</f>
        <v>116952</v>
      </c>
      <c r="F4" s="15">
        <f>E4/D4</f>
        <v>6.0021555042340262</v>
      </c>
      <c r="G4" s="11" t="s">
        <v>67</v>
      </c>
      <c r="H4" s="18">
        <v>45900</v>
      </c>
      <c r="I4" s="18">
        <v>46265</v>
      </c>
      <c r="J4" s="11" t="s">
        <v>62</v>
      </c>
      <c r="K4" s="11" t="s">
        <v>53</v>
      </c>
      <c r="L4" s="11" t="s">
        <v>63</v>
      </c>
      <c r="M4" s="11"/>
      <c r="N4" s="11" t="s">
        <v>64</v>
      </c>
      <c r="O4" s="11" t="s">
        <v>171</v>
      </c>
      <c r="P4" s="11" t="s">
        <v>168</v>
      </c>
    </row>
  </sheetData>
  <dataValidations count="1">
    <dataValidation type="list" allowBlank="1" sqref="N2:N4" xr:uid="{00000000-0002-0000-0500-000000000000}">
      <formula1>"معتمد,أولي,يحتاج مراجعة,غير محدد"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"/>
  <sheetViews>
    <sheetView rightToLeft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12" customWidth="1"/>
    <col min="4" max="4" width="14" customWidth="1"/>
    <col min="5" max="6" width="16" customWidth="1"/>
    <col min="7" max="7" width="14" customWidth="1"/>
    <col min="8" max="8" width="16" customWidth="1"/>
    <col min="9" max="9" width="18" customWidth="1"/>
    <col min="10" max="10" width="13" customWidth="1"/>
    <col min="11" max="11" width="44" customWidth="1"/>
  </cols>
  <sheetData>
    <row r="1" spans="1:11" x14ac:dyDescent="0.2">
      <c r="A1" s="9" t="s">
        <v>174</v>
      </c>
      <c r="B1" s="9" t="s">
        <v>175</v>
      </c>
      <c r="C1" s="9" t="s">
        <v>176</v>
      </c>
      <c r="D1" s="9" t="s">
        <v>177</v>
      </c>
      <c r="E1" s="9" t="s">
        <v>178</v>
      </c>
      <c r="F1" s="9" t="s">
        <v>179</v>
      </c>
      <c r="G1" s="9" t="s">
        <v>180</v>
      </c>
      <c r="H1" s="9" t="s">
        <v>181</v>
      </c>
      <c r="I1" s="9" t="s">
        <v>182</v>
      </c>
      <c r="J1" s="9" t="s">
        <v>42</v>
      </c>
      <c r="K1" s="9" t="s">
        <v>47</v>
      </c>
    </row>
    <row r="2" spans="1:11" ht="28" x14ac:dyDescent="0.2">
      <c r="A2" s="11" t="s">
        <v>183</v>
      </c>
      <c r="B2" s="11" t="s">
        <v>184</v>
      </c>
      <c r="C2" s="18">
        <v>45900</v>
      </c>
      <c r="D2" s="11"/>
      <c r="E2" s="11"/>
      <c r="F2" s="11"/>
      <c r="G2" s="13">
        <v>63</v>
      </c>
      <c r="H2" s="13">
        <v>218</v>
      </c>
      <c r="I2" s="13">
        <v>19485</v>
      </c>
      <c r="J2" s="11" t="s">
        <v>53</v>
      </c>
      <c r="K2" s="11" t="s">
        <v>185</v>
      </c>
    </row>
    <row r="3" spans="1:11" x14ac:dyDescent="0.2">
      <c r="A3" s="11" t="s">
        <v>186</v>
      </c>
      <c r="B3" s="11" t="s">
        <v>187</v>
      </c>
      <c r="C3" s="18">
        <v>45901</v>
      </c>
      <c r="D3" s="13">
        <v>7</v>
      </c>
      <c r="E3" s="13">
        <v>14</v>
      </c>
      <c r="F3" s="13">
        <v>2428</v>
      </c>
      <c r="G3" s="14">
        <f t="shared" ref="G3:G14" si="0">G2+D3</f>
        <v>70</v>
      </c>
      <c r="H3" s="14">
        <f t="shared" ref="H3:H14" si="1">H2+E3</f>
        <v>232</v>
      </c>
      <c r="I3" s="14">
        <f t="shared" ref="I3:I14" si="2">I2+F3</f>
        <v>21913</v>
      </c>
      <c r="J3" s="11" t="s">
        <v>53</v>
      </c>
      <c r="K3" s="11"/>
    </row>
    <row r="4" spans="1:11" x14ac:dyDescent="0.2">
      <c r="A4" s="11" t="s">
        <v>188</v>
      </c>
      <c r="B4" s="11" t="s">
        <v>189</v>
      </c>
      <c r="C4" s="18">
        <v>45931</v>
      </c>
      <c r="D4" s="13">
        <v>3</v>
      </c>
      <c r="E4" s="13">
        <v>84</v>
      </c>
      <c r="F4" s="13">
        <v>21810</v>
      </c>
      <c r="G4" s="14">
        <f t="shared" si="0"/>
        <v>73</v>
      </c>
      <c r="H4" s="14">
        <f t="shared" si="1"/>
        <v>316</v>
      </c>
      <c r="I4" s="14">
        <f t="shared" si="2"/>
        <v>43723</v>
      </c>
      <c r="J4" s="11" t="s">
        <v>53</v>
      </c>
      <c r="K4" s="11"/>
    </row>
    <row r="5" spans="1:11" x14ac:dyDescent="0.2">
      <c r="A5" s="11" t="s">
        <v>190</v>
      </c>
      <c r="B5" s="11" t="s">
        <v>191</v>
      </c>
      <c r="C5" s="18">
        <v>45962</v>
      </c>
      <c r="D5" s="13">
        <v>0</v>
      </c>
      <c r="E5" s="13">
        <v>145</v>
      </c>
      <c r="F5" s="13">
        <v>27352</v>
      </c>
      <c r="G5" s="14">
        <f t="shared" si="0"/>
        <v>73</v>
      </c>
      <c r="H5" s="14">
        <f t="shared" si="1"/>
        <v>461</v>
      </c>
      <c r="I5" s="14">
        <f t="shared" si="2"/>
        <v>71075</v>
      </c>
      <c r="J5" s="11" t="s">
        <v>53</v>
      </c>
      <c r="K5" s="11"/>
    </row>
    <row r="6" spans="1:11" x14ac:dyDescent="0.2">
      <c r="A6" s="11" t="s">
        <v>192</v>
      </c>
      <c r="B6" s="11" t="s">
        <v>193</v>
      </c>
      <c r="C6" s="18">
        <v>45992</v>
      </c>
      <c r="D6" s="13">
        <v>7</v>
      </c>
      <c r="E6" s="13">
        <v>34</v>
      </c>
      <c r="F6" s="13">
        <v>3124</v>
      </c>
      <c r="G6" s="14">
        <f t="shared" si="0"/>
        <v>80</v>
      </c>
      <c r="H6" s="14">
        <f t="shared" si="1"/>
        <v>495</v>
      </c>
      <c r="I6" s="14">
        <f t="shared" si="2"/>
        <v>74199</v>
      </c>
      <c r="J6" s="11" t="s">
        <v>53</v>
      </c>
      <c r="K6" s="11"/>
    </row>
    <row r="7" spans="1:11" x14ac:dyDescent="0.2">
      <c r="A7" s="11" t="s">
        <v>194</v>
      </c>
      <c r="B7" s="11" t="s">
        <v>195</v>
      </c>
      <c r="C7" s="18">
        <v>46023</v>
      </c>
      <c r="D7" s="13">
        <v>5</v>
      </c>
      <c r="E7" s="13">
        <v>16</v>
      </c>
      <c r="F7" s="13">
        <v>2483</v>
      </c>
      <c r="G7" s="14">
        <f t="shared" si="0"/>
        <v>85</v>
      </c>
      <c r="H7" s="14">
        <f t="shared" si="1"/>
        <v>511</v>
      </c>
      <c r="I7" s="14">
        <f t="shared" si="2"/>
        <v>76682</v>
      </c>
      <c r="J7" s="11" t="s">
        <v>53</v>
      </c>
      <c r="K7" s="11"/>
    </row>
    <row r="8" spans="1:11" x14ac:dyDescent="0.2">
      <c r="A8" s="11" t="s">
        <v>196</v>
      </c>
      <c r="B8" s="11" t="s">
        <v>197</v>
      </c>
      <c r="C8" s="18">
        <v>46054</v>
      </c>
      <c r="D8" s="13">
        <v>6</v>
      </c>
      <c r="E8" s="13">
        <v>29</v>
      </c>
      <c r="F8" s="13">
        <v>9885</v>
      </c>
      <c r="G8" s="14">
        <f t="shared" si="0"/>
        <v>91</v>
      </c>
      <c r="H8" s="14">
        <f t="shared" si="1"/>
        <v>540</v>
      </c>
      <c r="I8" s="14">
        <f t="shared" si="2"/>
        <v>86567</v>
      </c>
      <c r="J8" s="11" t="s">
        <v>53</v>
      </c>
      <c r="K8" s="11"/>
    </row>
    <row r="9" spans="1:11" x14ac:dyDescent="0.2">
      <c r="A9" s="11" t="s">
        <v>198</v>
      </c>
      <c r="B9" s="11" t="s">
        <v>199</v>
      </c>
      <c r="C9" s="18">
        <v>46082</v>
      </c>
      <c r="D9" s="13">
        <v>49</v>
      </c>
      <c r="E9" s="13">
        <v>29</v>
      </c>
      <c r="F9" s="13">
        <v>4680</v>
      </c>
      <c r="G9" s="14">
        <f t="shared" si="0"/>
        <v>140</v>
      </c>
      <c r="H9" s="14">
        <f t="shared" si="1"/>
        <v>569</v>
      </c>
      <c r="I9" s="14">
        <f t="shared" si="2"/>
        <v>91247</v>
      </c>
      <c r="J9" s="11" t="s">
        <v>53</v>
      </c>
      <c r="K9" s="11"/>
    </row>
    <row r="10" spans="1:11" x14ac:dyDescent="0.2">
      <c r="A10" s="11" t="s">
        <v>200</v>
      </c>
      <c r="B10" s="11" t="s">
        <v>201</v>
      </c>
      <c r="C10" s="18">
        <v>46113</v>
      </c>
      <c r="D10" s="13">
        <v>15</v>
      </c>
      <c r="E10" s="13">
        <v>42</v>
      </c>
      <c r="F10" s="13">
        <v>16840</v>
      </c>
      <c r="G10" s="14">
        <f t="shared" si="0"/>
        <v>155</v>
      </c>
      <c r="H10" s="14">
        <f t="shared" si="1"/>
        <v>611</v>
      </c>
      <c r="I10" s="14">
        <f t="shared" si="2"/>
        <v>108087</v>
      </c>
      <c r="J10" s="11" t="s">
        <v>53</v>
      </c>
      <c r="K10" s="11"/>
    </row>
    <row r="11" spans="1:11" x14ac:dyDescent="0.2">
      <c r="A11" s="11" t="s">
        <v>202</v>
      </c>
      <c r="B11" s="11" t="s">
        <v>203</v>
      </c>
      <c r="C11" s="18">
        <v>46143</v>
      </c>
      <c r="D11" s="13">
        <v>6</v>
      </c>
      <c r="E11" s="13">
        <v>34</v>
      </c>
      <c r="F11" s="13">
        <v>5438</v>
      </c>
      <c r="G11" s="14">
        <f t="shared" si="0"/>
        <v>161</v>
      </c>
      <c r="H11" s="14">
        <f t="shared" si="1"/>
        <v>645</v>
      </c>
      <c r="I11" s="14">
        <f t="shared" si="2"/>
        <v>113525</v>
      </c>
      <c r="J11" s="11" t="s">
        <v>53</v>
      </c>
      <c r="K11" s="11"/>
    </row>
    <row r="12" spans="1:11" x14ac:dyDescent="0.2">
      <c r="A12" s="11" t="s">
        <v>204</v>
      </c>
      <c r="B12" s="11" t="s">
        <v>205</v>
      </c>
      <c r="C12" s="18">
        <v>46174</v>
      </c>
      <c r="D12" s="13">
        <v>4</v>
      </c>
      <c r="E12" s="13">
        <v>37</v>
      </c>
      <c r="F12" s="13">
        <v>9684</v>
      </c>
      <c r="G12" s="14">
        <f t="shared" si="0"/>
        <v>165</v>
      </c>
      <c r="H12" s="14">
        <f t="shared" si="1"/>
        <v>682</v>
      </c>
      <c r="I12" s="14">
        <f t="shared" si="2"/>
        <v>123209</v>
      </c>
      <c r="J12" s="11" t="s">
        <v>53</v>
      </c>
      <c r="K12" s="11"/>
    </row>
    <row r="13" spans="1:11" x14ac:dyDescent="0.2">
      <c r="A13" s="11" t="s">
        <v>206</v>
      </c>
      <c r="B13" s="11" t="s">
        <v>207</v>
      </c>
      <c r="C13" s="18">
        <v>46204</v>
      </c>
      <c r="D13" s="13">
        <v>0</v>
      </c>
      <c r="E13" s="13">
        <v>33</v>
      </c>
      <c r="F13" s="13">
        <v>13228</v>
      </c>
      <c r="G13" s="14">
        <f t="shared" si="0"/>
        <v>165</v>
      </c>
      <c r="H13" s="14">
        <f t="shared" si="1"/>
        <v>715</v>
      </c>
      <c r="I13" s="14">
        <f t="shared" si="2"/>
        <v>136437</v>
      </c>
      <c r="J13" s="11" t="s">
        <v>53</v>
      </c>
      <c r="K13" s="11"/>
    </row>
    <row r="14" spans="1:11" x14ac:dyDescent="0.2">
      <c r="A14" s="11" t="s">
        <v>208</v>
      </c>
      <c r="B14" s="11" t="s">
        <v>57</v>
      </c>
      <c r="C14" s="18">
        <v>46235</v>
      </c>
      <c r="D14" s="13">
        <v>0</v>
      </c>
      <c r="E14" s="13">
        <v>0</v>
      </c>
      <c r="F14" s="13">
        <v>0</v>
      </c>
      <c r="G14" s="14">
        <f t="shared" si="0"/>
        <v>165</v>
      </c>
      <c r="H14" s="14">
        <f t="shared" si="1"/>
        <v>715</v>
      </c>
      <c r="I14" s="14">
        <f t="shared" si="2"/>
        <v>136437</v>
      </c>
      <c r="J14" s="11" t="s">
        <v>53</v>
      </c>
      <c r="K14" s="11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"/>
  <sheetViews>
    <sheetView rightToLeft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6" customWidth="1"/>
    <col min="3" max="3" width="11" customWidth="1"/>
    <col min="4" max="4" width="13" customWidth="1"/>
    <col min="5" max="5" width="12" customWidth="1"/>
    <col min="6" max="6" width="14" customWidth="1"/>
    <col min="7" max="7" width="18" customWidth="1"/>
    <col min="8" max="8" width="13" customWidth="1"/>
    <col min="9" max="9" width="26" customWidth="1"/>
    <col min="10" max="10" width="20" customWidth="1"/>
    <col min="11" max="11" width="12" customWidth="1"/>
    <col min="12" max="12" width="30" customWidth="1"/>
    <col min="13" max="13" width="40" customWidth="1"/>
  </cols>
  <sheetData>
    <row r="1" spans="1:13" x14ac:dyDescent="0.2">
      <c r="A1" s="9" t="s">
        <v>124</v>
      </c>
      <c r="B1" s="9" t="s">
        <v>125</v>
      </c>
      <c r="C1" s="9" t="s">
        <v>209</v>
      </c>
      <c r="D1" s="9" t="s">
        <v>210</v>
      </c>
      <c r="E1" s="9" t="s">
        <v>211</v>
      </c>
      <c r="F1" s="9" t="s">
        <v>212</v>
      </c>
      <c r="G1" s="9" t="s">
        <v>41</v>
      </c>
      <c r="H1" s="9" t="s">
        <v>42</v>
      </c>
      <c r="I1" s="10" t="s">
        <v>43</v>
      </c>
      <c r="J1" s="10" t="s">
        <v>44</v>
      </c>
      <c r="K1" s="10" t="s">
        <v>45</v>
      </c>
      <c r="L1" s="10" t="s">
        <v>46</v>
      </c>
      <c r="M1" s="9" t="s">
        <v>47</v>
      </c>
    </row>
    <row r="2" spans="1:13" ht="28" x14ac:dyDescent="0.2">
      <c r="A2" s="11" t="s">
        <v>129</v>
      </c>
      <c r="B2" s="11" t="s">
        <v>130</v>
      </c>
      <c r="C2" s="13">
        <v>0</v>
      </c>
      <c r="D2" s="13">
        <v>81</v>
      </c>
      <c r="E2" s="14">
        <f t="shared" ref="E2:E7" si="0">C2+D2</f>
        <v>81</v>
      </c>
      <c r="F2" s="13">
        <v>29081</v>
      </c>
      <c r="G2" s="11" t="s">
        <v>213</v>
      </c>
      <c r="H2" s="11" t="s">
        <v>53</v>
      </c>
      <c r="I2" s="11" t="s">
        <v>214</v>
      </c>
      <c r="J2" s="11"/>
      <c r="K2" s="11" t="s">
        <v>77</v>
      </c>
      <c r="L2" s="11" t="s">
        <v>215</v>
      </c>
      <c r="M2" s="11"/>
    </row>
    <row r="3" spans="1:13" ht="28" x14ac:dyDescent="0.2">
      <c r="A3" s="11" t="s">
        <v>134</v>
      </c>
      <c r="B3" s="11" t="s">
        <v>135</v>
      </c>
      <c r="C3" s="13">
        <v>8</v>
      </c>
      <c r="D3" s="13">
        <v>197</v>
      </c>
      <c r="E3" s="14">
        <f t="shared" si="0"/>
        <v>205</v>
      </c>
      <c r="F3" s="13">
        <v>22102</v>
      </c>
      <c r="G3" s="11" t="s">
        <v>213</v>
      </c>
      <c r="H3" s="11" t="s">
        <v>53</v>
      </c>
      <c r="I3" s="11" t="s">
        <v>214</v>
      </c>
      <c r="J3" s="11"/>
      <c r="K3" s="11" t="s">
        <v>77</v>
      </c>
      <c r="L3" s="11" t="s">
        <v>215</v>
      </c>
      <c r="M3" s="11"/>
    </row>
    <row r="4" spans="1:13" ht="28" x14ac:dyDescent="0.2">
      <c r="A4" s="11" t="s">
        <v>136</v>
      </c>
      <c r="B4" s="11" t="s">
        <v>137</v>
      </c>
      <c r="C4" s="13">
        <v>1</v>
      </c>
      <c r="D4" s="13">
        <v>64</v>
      </c>
      <c r="E4" s="14">
        <f t="shared" si="0"/>
        <v>65</v>
      </c>
      <c r="F4" s="13">
        <v>9043</v>
      </c>
      <c r="G4" s="11" t="s">
        <v>213</v>
      </c>
      <c r="H4" s="11" t="s">
        <v>53</v>
      </c>
      <c r="I4" s="11" t="s">
        <v>214</v>
      </c>
      <c r="J4" s="11"/>
      <c r="K4" s="11" t="s">
        <v>77</v>
      </c>
      <c r="L4" s="11" t="s">
        <v>215</v>
      </c>
      <c r="M4" s="11"/>
    </row>
    <row r="5" spans="1:13" ht="28" x14ac:dyDescent="0.2">
      <c r="A5" s="11" t="s">
        <v>138</v>
      </c>
      <c r="B5" s="11" t="s">
        <v>139</v>
      </c>
      <c r="C5" s="13">
        <v>55</v>
      </c>
      <c r="D5" s="13">
        <v>151</v>
      </c>
      <c r="E5" s="14">
        <f t="shared" si="0"/>
        <v>206</v>
      </c>
      <c r="F5" s="13">
        <v>19673</v>
      </c>
      <c r="G5" s="11" t="s">
        <v>213</v>
      </c>
      <c r="H5" s="11" t="s">
        <v>53</v>
      </c>
      <c r="I5" s="11" t="s">
        <v>214</v>
      </c>
      <c r="J5" s="11"/>
      <c r="K5" s="11" t="s">
        <v>77</v>
      </c>
      <c r="L5" s="11" t="s">
        <v>215</v>
      </c>
      <c r="M5" s="11"/>
    </row>
    <row r="6" spans="1:13" ht="28" x14ac:dyDescent="0.2">
      <c r="A6" s="11" t="s">
        <v>140</v>
      </c>
      <c r="B6" s="11" t="s">
        <v>141</v>
      </c>
      <c r="C6" s="13">
        <v>44</v>
      </c>
      <c r="D6" s="13">
        <v>222</v>
      </c>
      <c r="E6" s="14">
        <f t="shared" si="0"/>
        <v>266</v>
      </c>
      <c r="F6" s="13">
        <v>56538</v>
      </c>
      <c r="G6" s="11" t="s">
        <v>213</v>
      </c>
      <c r="H6" s="11" t="s">
        <v>53</v>
      </c>
      <c r="I6" s="11" t="s">
        <v>214</v>
      </c>
      <c r="J6" s="11"/>
      <c r="K6" s="11" t="s">
        <v>77</v>
      </c>
      <c r="L6" s="11" t="s">
        <v>215</v>
      </c>
      <c r="M6" s="11"/>
    </row>
    <row r="7" spans="1:13" ht="28" x14ac:dyDescent="0.2">
      <c r="A7" s="19" t="s">
        <v>216</v>
      </c>
      <c r="B7" s="19" t="s">
        <v>217</v>
      </c>
      <c r="C7" s="13">
        <v>57</v>
      </c>
      <c r="D7" s="13">
        <v>0</v>
      </c>
      <c r="E7" s="14">
        <f t="shared" si="0"/>
        <v>57</v>
      </c>
      <c r="F7" s="13">
        <v>0</v>
      </c>
      <c r="G7" s="19" t="s">
        <v>213</v>
      </c>
      <c r="H7" s="19" t="s">
        <v>53</v>
      </c>
      <c r="I7" s="19" t="s">
        <v>214</v>
      </c>
      <c r="J7" s="19"/>
      <c r="K7" s="19" t="s">
        <v>53</v>
      </c>
      <c r="L7" s="19" t="s">
        <v>215</v>
      </c>
      <c r="M7" s="19" t="s">
        <v>218</v>
      </c>
    </row>
    <row r="9" spans="1:13" x14ac:dyDescent="0.2">
      <c r="A9" s="11"/>
      <c r="B9" s="17" t="s">
        <v>142</v>
      </c>
      <c r="C9" s="14">
        <f>SUM(C2:C7)</f>
        <v>165</v>
      </c>
      <c r="D9" s="14">
        <f>SUM(D2:D7)</f>
        <v>715</v>
      </c>
      <c r="E9" s="14">
        <f>SUM(E2:E7)</f>
        <v>880</v>
      </c>
      <c r="F9" s="14">
        <f>SUM(F2:F7)</f>
        <v>136437</v>
      </c>
      <c r="G9" s="11" t="s">
        <v>62</v>
      </c>
      <c r="H9" s="11"/>
      <c r="I9" s="11"/>
      <c r="J9" s="11"/>
      <c r="K9" s="11"/>
      <c r="L9" s="11"/>
      <c r="M9" s="11" t="s">
        <v>219</v>
      </c>
    </row>
  </sheetData>
  <dataValidations count="1">
    <dataValidation type="list" allowBlank="1" sqref="K2:K7" xr:uid="{00000000-0002-0000-0700-000000000000}">
      <formula1>"معتمد,أولي,يحتاج مراجعة,غير محدد"</formula1>
    </dataValidation>
  </dataValidation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6"/>
  <sheetViews>
    <sheetView rightToLeft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5" customWidth="1"/>
    <col min="3" max="3" width="11" customWidth="1"/>
    <col min="4" max="4" width="15" customWidth="1"/>
    <col min="5" max="5" width="11" customWidth="1"/>
    <col min="6" max="6" width="8" customWidth="1"/>
    <col min="7" max="7" width="11" customWidth="1"/>
    <col min="8" max="8" width="13" customWidth="1"/>
    <col min="9" max="9" width="26" customWidth="1"/>
    <col min="10" max="10" width="20" customWidth="1"/>
    <col min="11" max="11" width="12" customWidth="1"/>
    <col min="12" max="12" width="30" customWidth="1"/>
    <col min="13" max="13" width="36" customWidth="1"/>
  </cols>
  <sheetData>
    <row r="1" spans="1:13" x14ac:dyDescent="0.2">
      <c r="A1" s="9" t="s">
        <v>220</v>
      </c>
      <c r="B1" s="9" t="s">
        <v>221</v>
      </c>
      <c r="C1" s="9" t="s">
        <v>222</v>
      </c>
      <c r="D1" s="9" t="s">
        <v>212</v>
      </c>
      <c r="E1" s="9" t="s">
        <v>39</v>
      </c>
      <c r="F1" s="9" t="s">
        <v>146</v>
      </c>
      <c r="G1" s="9" t="s">
        <v>223</v>
      </c>
      <c r="H1" s="9" t="s">
        <v>42</v>
      </c>
      <c r="I1" s="10" t="s">
        <v>43</v>
      </c>
      <c r="J1" s="10" t="s">
        <v>44</v>
      </c>
      <c r="K1" s="10" t="s">
        <v>45</v>
      </c>
      <c r="L1" s="10" t="s">
        <v>46</v>
      </c>
      <c r="M1" s="9" t="s">
        <v>47</v>
      </c>
    </row>
    <row r="2" spans="1:13" x14ac:dyDescent="0.2">
      <c r="A2" s="11" t="s">
        <v>224</v>
      </c>
      <c r="B2" s="11" t="s">
        <v>225</v>
      </c>
      <c r="C2" s="13">
        <v>56</v>
      </c>
      <c r="D2" s="13">
        <v>41724</v>
      </c>
      <c r="E2" s="11" t="s">
        <v>226</v>
      </c>
      <c r="F2" s="11">
        <v>1</v>
      </c>
      <c r="G2" s="11" t="s">
        <v>227</v>
      </c>
      <c r="H2" s="11" t="s">
        <v>53</v>
      </c>
      <c r="I2" s="11" t="s">
        <v>63</v>
      </c>
      <c r="J2" s="11"/>
      <c r="K2" s="11" t="s">
        <v>64</v>
      </c>
      <c r="L2" s="11" t="s">
        <v>228</v>
      </c>
      <c r="M2" s="11"/>
    </row>
    <row r="3" spans="1:13" x14ac:dyDescent="0.2">
      <c r="A3" s="11" t="s">
        <v>229</v>
      </c>
      <c r="B3" s="11" t="s">
        <v>230</v>
      </c>
      <c r="C3" s="13">
        <v>652</v>
      </c>
      <c r="D3" s="13">
        <v>87820</v>
      </c>
      <c r="E3" s="11" t="s">
        <v>226</v>
      </c>
      <c r="F3" s="11">
        <v>2</v>
      </c>
      <c r="G3" s="11" t="s">
        <v>231</v>
      </c>
      <c r="H3" s="11" t="s">
        <v>53</v>
      </c>
      <c r="I3" s="11" t="s">
        <v>63</v>
      </c>
      <c r="J3" s="11"/>
      <c r="K3" s="11" t="s">
        <v>64</v>
      </c>
      <c r="L3" s="11" t="s">
        <v>228</v>
      </c>
      <c r="M3" s="11"/>
    </row>
    <row r="4" spans="1:13" x14ac:dyDescent="0.2">
      <c r="A4" s="11" t="s">
        <v>232</v>
      </c>
      <c r="B4" s="11" t="s">
        <v>233</v>
      </c>
      <c r="C4" s="13">
        <v>7</v>
      </c>
      <c r="D4" s="13">
        <v>6893</v>
      </c>
      <c r="E4" s="11" t="s">
        <v>226</v>
      </c>
      <c r="F4" s="11">
        <v>3</v>
      </c>
      <c r="G4" s="11" t="s">
        <v>234</v>
      </c>
      <c r="H4" s="11" t="s">
        <v>53</v>
      </c>
      <c r="I4" s="11" t="s">
        <v>63</v>
      </c>
      <c r="J4" s="11"/>
      <c r="K4" s="11" t="s">
        <v>64</v>
      </c>
      <c r="L4" s="11" t="s">
        <v>228</v>
      </c>
      <c r="M4" s="11"/>
    </row>
    <row r="6" spans="1:13" x14ac:dyDescent="0.2">
      <c r="A6" s="11"/>
      <c r="B6" s="17" t="s">
        <v>142</v>
      </c>
      <c r="C6" s="14">
        <f>SUM(C2:C4)</f>
        <v>715</v>
      </c>
      <c r="D6" s="14">
        <f>SUM(D2:D4)</f>
        <v>136437</v>
      </c>
      <c r="E6" s="11"/>
      <c r="F6" s="11"/>
      <c r="G6" s="11"/>
      <c r="H6" s="11"/>
      <c r="I6" s="11"/>
      <c r="J6" s="11"/>
      <c r="K6" s="11"/>
      <c r="L6" s="11"/>
      <c r="M6" s="11" t="s">
        <v>235</v>
      </c>
    </row>
  </sheetData>
  <dataValidations count="1">
    <dataValidation type="list" allowBlank="1" sqref="K2:K4" xr:uid="{00000000-0002-0000-0800-000000000000}">
      <formula1>"معتمد,أولي,يحتاج مراجعة,غير محدد"</formula1>
    </dataValidation>
  </dataValidation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6"/>
  <sheetViews>
    <sheetView rightToLeft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9" customWidth="1"/>
    <col min="2" max="2" width="26" customWidth="1"/>
    <col min="3" max="3" width="13" customWidth="1"/>
    <col min="4" max="4" width="9" customWidth="1"/>
    <col min="5" max="5" width="20" customWidth="1"/>
    <col min="6" max="6" width="13" customWidth="1"/>
    <col min="7" max="7" width="28" customWidth="1"/>
    <col min="8" max="8" width="13" customWidth="1"/>
    <col min="9" max="9" width="24" customWidth="1"/>
    <col min="10" max="10" width="20" customWidth="1"/>
    <col min="11" max="11" width="12" customWidth="1"/>
    <col min="12" max="12" width="24" customWidth="1"/>
    <col min="13" max="13" width="34" customWidth="1"/>
  </cols>
  <sheetData>
    <row r="1" spans="1:13" x14ac:dyDescent="0.2">
      <c r="A1" s="9" t="s">
        <v>98</v>
      </c>
      <c r="B1" s="9" t="s">
        <v>37</v>
      </c>
      <c r="C1" s="9" t="s">
        <v>38</v>
      </c>
      <c r="D1" s="9" t="s">
        <v>39</v>
      </c>
      <c r="E1" s="9" t="s">
        <v>40</v>
      </c>
      <c r="F1" s="9" t="s">
        <v>41</v>
      </c>
      <c r="G1" s="9" t="s">
        <v>100</v>
      </c>
      <c r="H1" s="9" t="s">
        <v>42</v>
      </c>
      <c r="I1" s="10" t="s">
        <v>43</v>
      </c>
      <c r="J1" s="10" t="s">
        <v>44</v>
      </c>
      <c r="K1" s="10" t="s">
        <v>45</v>
      </c>
      <c r="L1" s="10" t="s">
        <v>46</v>
      </c>
      <c r="M1" s="9" t="s">
        <v>47</v>
      </c>
    </row>
    <row r="2" spans="1:13" x14ac:dyDescent="0.2">
      <c r="A2" s="11" t="s">
        <v>236</v>
      </c>
      <c r="B2" s="11" t="s">
        <v>237</v>
      </c>
      <c r="C2" s="14">
        <f>'11_الرقابة_حسب_القطاع'!C8</f>
        <v>18</v>
      </c>
      <c r="D2" s="11" t="s">
        <v>83</v>
      </c>
      <c r="E2" s="11" t="s">
        <v>57</v>
      </c>
      <c r="F2" s="11" t="s">
        <v>62</v>
      </c>
      <c r="G2" s="11" t="s">
        <v>238</v>
      </c>
      <c r="H2" s="11" t="s">
        <v>53</v>
      </c>
      <c r="I2" s="11" t="s">
        <v>63</v>
      </c>
      <c r="J2" s="11"/>
      <c r="K2" s="11" t="s">
        <v>64</v>
      </c>
      <c r="L2" s="11"/>
      <c r="M2" s="11"/>
    </row>
    <row r="3" spans="1:13" x14ac:dyDescent="0.2">
      <c r="A3" s="11" t="s">
        <v>239</v>
      </c>
      <c r="B3" s="11" t="s">
        <v>240</v>
      </c>
      <c r="C3" s="14">
        <f>'11_الرقابة_حسب_القطاع'!E8</f>
        <v>3617</v>
      </c>
      <c r="D3" s="11" t="s">
        <v>86</v>
      </c>
      <c r="E3" s="11" t="s">
        <v>87</v>
      </c>
      <c r="F3" s="11" t="s">
        <v>62</v>
      </c>
      <c r="G3" s="11" t="s">
        <v>238</v>
      </c>
      <c r="H3" s="11" t="s">
        <v>53</v>
      </c>
      <c r="I3" s="11" t="s">
        <v>63</v>
      </c>
      <c r="J3" s="11"/>
      <c r="K3" s="11" t="s">
        <v>64</v>
      </c>
      <c r="L3" s="11"/>
      <c r="M3" s="11"/>
    </row>
    <row r="4" spans="1:13" x14ac:dyDescent="0.2">
      <c r="A4" s="11" t="s">
        <v>241</v>
      </c>
      <c r="B4" s="11" t="s">
        <v>242</v>
      </c>
      <c r="C4" s="14">
        <f>'11_الرقابة_حسب_القطاع'!D8</f>
        <v>19651</v>
      </c>
      <c r="D4" s="11" t="s">
        <v>90</v>
      </c>
      <c r="E4" s="11" t="s">
        <v>87</v>
      </c>
      <c r="F4" s="11" t="s">
        <v>62</v>
      </c>
      <c r="G4" s="11" t="s">
        <v>238</v>
      </c>
      <c r="H4" s="11" t="s">
        <v>53</v>
      </c>
      <c r="I4" s="11" t="s">
        <v>63</v>
      </c>
      <c r="J4" s="11"/>
      <c r="K4" s="11" t="s">
        <v>64</v>
      </c>
      <c r="L4" s="11"/>
      <c r="M4" s="11"/>
    </row>
    <row r="5" spans="1:13" x14ac:dyDescent="0.2">
      <c r="A5" s="11" t="s">
        <v>243</v>
      </c>
      <c r="B5" s="11" t="s">
        <v>92</v>
      </c>
      <c r="C5" s="20">
        <v>0.81599999999999995</v>
      </c>
      <c r="D5" s="11" t="s">
        <v>72</v>
      </c>
      <c r="E5" s="11" t="s">
        <v>87</v>
      </c>
      <c r="F5" s="11" t="s">
        <v>52</v>
      </c>
      <c r="G5" s="11"/>
      <c r="H5" s="11" t="s">
        <v>53</v>
      </c>
      <c r="I5" s="11" t="s">
        <v>63</v>
      </c>
      <c r="J5" s="11"/>
      <c r="K5" s="11" t="s">
        <v>64</v>
      </c>
      <c r="L5" s="11"/>
      <c r="M5" s="11"/>
    </row>
    <row r="6" spans="1:13" x14ac:dyDescent="0.2">
      <c r="A6" s="11" t="s">
        <v>244</v>
      </c>
      <c r="B6" s="11" t="s">
        <v>245</v>
      </c>
      <c r="C6" s="13"/>
      <c r="D6" s="11" t="s">
        <v>246</v>
      </c>
      <c r="E6" s="11" t="s">
        <v>87</v>
      </c>
      <c r="F6" s="11" t="s">
        <v>52</v>
      </c>
      <c r="G6" s="11"/>
      <c r="H6" s="11" t="s">
        <v>247</v>
      </c>
      <c r="I6" s="11" t="s">
        <v>63</v>
      </c>
      <c r="J6" s="11"/>
      <c r="K6" s="11" t="s">
        <v>64</v>
      </c>
      <c r="L6" s="11"/>
      <c r="M6" s="11"/>
    </row>
  </sheetData>
  <dataValidations count="1">
    <dataValidation type="list" allowBlank="1" sqref="K2:K6" xr:uid="{00000000-0002-0000-0900-000000000000}">
      <formula1>"معتمد,أولي,يحتاج مراجعة,غير محدد"</formula1>
    </dataValidation>
  </dataValidation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8"/>
  <sheetViews>
    <sheetView rightToLeft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2" width="14" customWidth="1"/>
    <col min="3" max="3" width="13" customWidth="1"/>
    <col min="4" max="4" width="12" customWidth="1"/>
    <col min="5" max="5" width="13" customWidth="1"/>
    <col min="6" max="6" width="12" customWidth="1"/>
    <col min="7" max="7" width="13" customWidth="1"/>
    <col min="8" max="8" width="24" customWidth="1"/>
    <col min="9" max="9" width="20" customWidth="1"/>
    <col min="10" max="10" width="12" customWidth="1"/>
    <col min="11" max="11" width="24" customWidth="1"/>
    <col min="12" max="12" width="40" customWidth="1"/>
  </cols>
  <sheetData>
    <row r="1" spans="1:12" x14ac:dyDescent="0.2">
      <c r="A1" s="9" t="s">
        <v>124</v>
      </c>
      <c r="B1" s="9" t="s">
        <v>125</v>
      </c>
      <c r="C1" s="9" t="s">
        <v>248</v>
      </c>
      <c r="D1" s="9" t="s">
        <v>249</v>
      </c>
      <c r="E1" s="9" t="s">
        <v>250</v>
      </c>
      <c r="F1" s="9" t="s">
        <v>251</v>
      </c>
      <c r="G1" s="9" t="s">
        <v>42</v>
      </c>
      <c r="H1" s="10" t="s">
        <v>43</v>
      </c>
      <c r="I1" s="10" t="s">
        <v>44</v>
      </c>
      <c r="J1" s="10" t="s">
        <v>45</v>
      </c>
      <c r="K1" s="10" t="s">
        <v>46</v>
      </c>
      <c r="L1" s="9" t="s">
        <v>47</v>
      </c>
    </row>
    <row r="2" spans="1:12" x14ac:dyDescent="0.2">
      <c r="A2" s="11" t="s">
        <v>129</v>
      </c>
      <c r="B2" s="11" t="s">
        <v>130</v>
      </c>
      <c r="C2" s="13">
        <v>4</v>
      </c>
      <c r="D2" s="13">
        <v>3538</v>
      </c>
      <c r="E2" s="13">
        <v>439</v>
      </c>
      <c r="F2" s="13"/>
      <c r="G2" s="11" t="s">
        <v>53</v>
      </c>
      <c r="H2" s="11" t="s">
        <v>63</v>
      </c>
      <c r="I2" s="11"/>
      <c r="J2" s="11" t="s">
        <v>64</v>
      </c>
      <c r="K2" s="11"/>
      <c r="L2" s="11" t="s">
        <v>252</v>
      </c>
    </row>
    <row r="3" spans="1:12" x14ac:dyDescent="0.2">
      <c r="A3" s="11" t="s">
        <v>134</v>
      </c>
      <c r="B3" s="11" t="s">
        <v>135</v>
      </c>
      <c r="C3" s="13">
        <v>4</v>
      </c>
      <c r="D3" s="13">
        <v>4716</v>
      </c>
      <c r="E3" s="13">
        <v>907</v>
      </c>
      <c r="F3" s="13"/>
      <c r="G3" s="11" t="s">
        <v>53</v>
      </c>
      <c r="H3" s="11" t="s">
        <v>63</v>
      </c>
      <c r="I3" s="11"/>
      <c r="J3" s="11" t="s">
        <v>64</v>
      </c>
      <c r="K3" s="11"/>
      <c r="L3" s="11" t="s">
        <v>252</v>
      </c>
    </row>
    <row r="4" spans="1:12" x14ac:dyDescent="0.2">
      <c r="A4" s="11" t="s">
        <v>136</v>
      </c>
      <c r="B4" s="11" t="s">
        <v>137</v>
      </c>
      <c r="C4" s="13">
        <v>4</v>
      </c>
      <c r="D4" s="13">
        <v>3341</v>
      </c>
      <c r="E4" s="13">
        <v>548</v>
      </c>
      <c r="F4" s="13"/>
      <c r="G4" s="11" t="s">
        <v>53</v>
      </c>
      <c r="H4" s="11" t="s">
        <v>63</v>
      </c>
      <c r="I4" s="11"/>
      <c r="J4" s="11" t="s">
        <v>64</v>
      </c>
      <c r="K4" s="11"/>
      <c r="L4" s="11" t="s">
        <v>252</v>
      </c>
    </row>
    <row r="5" spans="1:12" x14ac:dyDescent="0.2">
      <c r="A5" s="11" t="s">
        <v>138</v>
      </c>
      <c r="B5" s="11" t="s">
        <v>139</v>
      </c>
      <c r="C5" s="13">
        <v>3</v>
      </c>
      <c r="D5" s="13">
        <v>2553</v>
      </c>
      <c r="E5" s="13">
        <v>356</v>
      </c>
      <c r="F5" s="13"/>
      <c r="G5" s="11" t="s">
        <v>53</v>
      </c>
      <c r="H5" s="11" t="s">
        <v>63</v>
      </c>
      <c r="I5" s="11"/>
      <c r="J5" s="11" t="s">
        <v>64</v>
      </c>
      <c r="K5" s="11"/>
      <c r="L5" s="11" t="s">
        <v>252</v>
      </c>
    </row>
    <row r="6" spans="1:12" x14ac:dyDescent="0.2">
      <c r="A6" s="11" t="s">
        <v>140</v>
      </c>
      <c r="B6" s="11" t="s">
        <v>141</v>
      </c>
      <c r="C6" s="13">
        <v>3</v>
      </c>
      <c r="D6" s="13">
        <v>5503</v>
      </c>
      <c r="E6" s="13">
        <v>1367</v>
      </c>
      <c r="F6" s="13"/>
      <c r="G6" s="11" t="s">
        <v>53</v>
      </c>
      <c r="H6" s="11" t="s">
        <v>63</v>
      </c>
      <c r="I6" s="11"/>
      <c r="J6" s="11" t="s">
        <v>64</v>
      </c>
      <c r="K6" s="11"/>
      <c r="L6" s="11" t="s">
        <v>252</v>
      </c>
    </row>
    <row r="8" spans="1:12" x14ac:dyDescent="0.2">
      <c r="A8" s="11"/>
      <c r="B8" s="17" t="s">
        <v>142</v>
      </c>
      <c r="C8" s="14">
        <f>SUM(C2:C6)</f>
        <v>18</v>
      </c>
      <c r="D8" s="14">
        <f>SUM(D2:D6)</f>
        <v>19651</v>
      </c>
      <c r="E8" s="14">
        <f>SUM(E2:E6)</f>
        <v>3617</v>
      </c>
      <c r="F8" s="14">
        <f>SUM(F2:F6)</f>
        <v>0</v>
      </c>
      <c r="G8" s="11"/>
      <c r="H8" s="11"/>
      <c r="I8" s="11"/>
      <c r="J8" s="11"/>
      <c r="K8" s="11"/>
      <c r="L8" s="11"/>
    </row>
  </sheetData>
  <dataValidations count="1">
    <dataValidation type="list" allowBlank="1" sqref="J2:J6" xr:uid="{00000000-0002-0000-0A00-000000000000}">
      <formula1>"معتمد,أولي,يحتاج مراجعة,غير محدد"</formula1>
    </dataValidation>
  </dataValidations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9"/>
  <sheetViews>
    <sheetView rightToLeft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36" customWidth="1"/>
    <col min="3" max="3" width="13" customWidth="1"/>
    <col min="4" max="4" width="8" customWidth="1"/>
    <col min="5" max="5" width="13" customWidth="1"/>
    <col min="6" max="6" width="24" customWidth="1"/>
    <col min="7" max="7" width="20" customWidth="1"/>
    <col min="8" max="8" width="12" customWidth="1"/>
    <col min="9" max="9" width="24" customWidth="1"/>
    <col min="10" max="10" width="30" customWidth="1"/>
  </cols>
  <sheetData>
    <row r="1" spans="1:10" x14ac:dyDescent="0.2">
      <c r="A1" s="9" t="s">
        <v>253</v>
      </c>
      <c r="B1" s="9" t="s">
        <v>254</v>
      </c>
      <c r="C1" s="9" t="s">
        <v>250</v>
      </c>
      <c r="D1" s="9" t="s">
        <v>146</v>
      </c>
      <c r="E1" s="9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9" t="s">
        <v>47</v>
      </c>
    </row>
    <row r="2" spans="1:10" x14ac:dyDescent="0.2">
      <c r="A2" s="11" t="s">
        <v>255</v>
      </c>
      <c r="B2" s="11" t="s">
        <v>256</v>
      </c>
      <c r="C2" s="13">
        <v>1121</v>
      </c>
      <c r="D2" s="11">
        <v>1</v>
      </c>
      <c r="E2" s="11" t="s">
        <v>53</v>
      </c>
      <c r="F2" s="11" t="s">
        <v>63</v>
      </c>
      <c r="G2" s="11"/>
      <c r="H2" s="11" t="s">
        <v>64</v>
      </c>
      <c r="I2" s="11"/>
      <c r="J2" s="11"/>
    </row>
    <row r="3" spans="1:10" x14ac:dyDescent="0.2">
      <c r="A3" s="11" t="s">
        <v>257</v>
      </c>
      <c r="B3" s="11" t="s">
        <v>258</v>
      </c>
      <c r="C3" s="13">
        <v>868</v>
      </c>
      <c r="D3" s="11">
        <v>2</v>
      </c>
      <c r="E3" s="11" t="s">
        <v>53</v>
      </c>
      <c r="F3" s="11" t="s">
        <v>63</v>
      </c>
      <c r="G3" s="11"/>
      <c r="H3" s="11" t="s">
        <v>64</v>
      </c>
      <c r="I3" s="11"/>
      <c r="J3" s="11"/>
    </row>
    <row r="4" spans="1:10" x14ac:dyDescent="0.2">
      <c r="A4" s="11" t="s">
        <v>259</v>
      </c>
      <c r="B4" s="11" t="s">
        <v>260</v>
      </c>
      <c r="C4" s="13">
        <v>615</v>
      </c>
      <c r="D4" s="11">
        <v>3</v>
      </c>
      <c r="E4" s="11" t="s">
        <v>53</v>
      </c>
      <c r="F4" s="11" t="s">
        <v>63</v>
      </c>
      <c r="G4" s="11"/>
      <c r="H4" s="11" t="s">
        <v>64</v>
      </c>
      <c r="I4" s="11"/>
      <c r="J4" s="11"/>
    </row>
    <row r="5" spans="1:10" x14ac:dyDescent="0.2">
      <c r="A5" s="11" t="s">
        <v>261</v>
      </c>
      <c r="B5" s="11" t="s">
        <v>262</v>
      </c>
      <c r="C5" s="13">
        <v>434</v>
      </c>
      <c r="D5" s="11">
        <v>4</v>
      </c>
      <c r="E5" s="11" t="s">
        <v>53</v>
      </c>
      <c r="F5" s="11" t="s">
        <v>63</v>
      </c>
      <c r="G5" s="11"/>
      <c r="H5" s="11" t="s">
        <v>64</v>
      </c>
      <c r="I5" s="11"/>
      <c r="J5" s="11"/>
    </row>
    <row r="6" spans="1:10" x14ac:dyDescent="0.2">
      <c r="A6" s="11" t="s">
        <v>263</v>
      </c>
      <c r="B6" s="11" t="s">
        <v>264</v>
      </c>
      <c r="C6" s="13">
        <v>326</v>
      </c>
      <c r="D6" s="11">
        <v>5</v>
      </c>
      <c r="E6" s="11" t="s">
        <v>53</v>
      </c>
      <c r="F6" s="11" t="s">
        <v>63</v>
      </c>
      <c r="G6" s="11"/>
      <c r="H6" s="11" t="s">
        <v>64</v>
      </c>
      <c r="I6" s="11"/>
      <c r="J6" s="11"/>
    </row>
    <row r="7" spans="1:10" x14ac:dyDescent="0.2">
      <c r="A7" s="11" t="s">
        <v>265</v>
      </c>
      <c r="B7" s="11" t="s">
        <v>266</v>
      </c>
      <c r="C7" s="13">
        <v>253</v>
      </c>
      <c r="D7" s="11">
        <v>6</v>
      </c>
      <c r="E7" s="11" t="s">
        <v>53</v>
      </c>
      <c r="F7" s="11" t="s">
        <v>63</v>
      </c>
      <c r="G7" s="11"/>
      <c r="H7" s="11" t="s">
        <v>64</v>
      </c>
      <c r="I7" s="11"/>
      <c r="J7" s="11"/>
    </row>
    <row r="9" spans="1:10" x14ac:dyDescent="0.2">
      <c r="A9" s="11"/>
      <c r="B9" s="17" t="s">
        <v>142</v>
      </c>
      <c r="C9" s="14">
        <f>SUM(C2:C7)</f>
        <v>3617</v>
      </c>
      <c r="D9" s="11"/>
      <c r="E9" s="11"/>
      <c r="F9" s="11"/>
      <c r="G9" s="11"/>
      <c r="H9" s="11"/>
      <c r="I9" s="11"/>
      <c r="J9" s="11" t="s">
        <v>267</v>
      </c>
    </row>
  </sheetData>
  <dataValidations count="1">
    <dataValidation type="list" allowBlank="1" sqref="H2:H7" xr:uid="{00000000-0002-0000-0B00-000000000000}">
      <formula1>"معتمد,أولي,يحتاج مراجعة,غير محدد"</formula1>
    </dataValidation>
  </dataValidation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1"/>
  <sheetViews>
    <sheetView rightToLeft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2" width="18" customWidth="1"/>
    <col min="3" max="3" width="14" customWidth="1"/>
    <col min="4" max="4" width="13" customWidth="1"/>
    <col min="5" max="5" width="10" customWidth="1"/>
    <col min="6" max="6" width="12" customWidth="1"/>
    <col min="7" max="7" width="13" customWidth="1"/>
    <col min="8" max="8" width="12" customWidth="1"/>
    <col min="9" max="9" width="11" customWidth="1"/>
    <col min="10" max="11" width="10" customWidth="1"/>
    <col min="12" max="12" width="12" customWidth="1"/>
    <col min="13" max="13" width="24" customWidth="1"/>
    <col min="14" max="14" width="20" customWidth="1"/>
    <col min="15" max="15" width="12" customWidth="1"/>
    <col min="16" max="16" width="24" customWidth="1"/>
    <col min="17" max="17" width="52" customWidth="1"/>
  </cols>
  <sheetData>
    <row r="1" spans="1:17" x14ac:dyDescent="0.2">
      <c r="A1" s="9" t="s">
        <v>268</v>
      </c>
      <c r="B1" s="9" t="s">
        <v>269</v>
      </c>
      <c r="C1" s="9" t="s">
        <v>124</v>
      </c>
      <c r="D1" s="9" t="s">
        <v>125</v>
      </c>
      <c r="E1" s="9" t="s">
        <v>209</v>
      </c>
      <c r="F1" s="9" t="s">
        <v>210</v>
      </c>
      <c r="G1" s="9" t="s">
        <v>212</v>
      </c>
      <c r="H1" s="9" t="s">
        <v>250</v>
      </c>
      <c r="I1" s="9" t="s">
        <v>249</v>
      </c>
      <c r="J1" s="9" t="s">
        <v>270</v>
      </c>
      <c r="K1" s="9" t="s">
        <v>271</v>
      </c>
      <c r="L1" s="9" t="s">
        <v>42</v>
      </c>
      <c r="M1" s="10" t="s">
        <v>43</v>
      </c>
      <c r="N1" s="10" t="s">
        <v>44</v>
      </c>
      <c r="O1" s="10" t="s">
        <v>45</v>
      </c>
      <c r="P1" s="10" t="s">
        <v>46</v>
      </c>
      <c r="Q1" s="9" t="s">
        <v>47</v>
      </c>
    </row>
    <row r="2" spans="1:17" ht="28" x14ac:dyDescent="0.2">
      <c r="A2" s="11" t="s">
        <v>272</v>
      </c>
      <c r="B2" s="11" t="s">
        <v>273</v>
      </c>
      <c r="C2" s="11" t="s">
        <v>129</v>
      </c>
      <c r="D2" s="11" t="s">
        <v>130</v>
      </c>
      <c r="E2" s="13">
        <v>6</v>
      </c>
      <c r="F2" s="13">
        <v>5</v>
      </c>
      <c r="G2" s="13">
        <v>21500</v>
      </c>
      <c r="H2" s="13">
        <v>84</v>
      </c>
      <c r="I2" s="13"/>
      <c r="J2" s="21"/>
      <c r="K2" s="21"/>
      <c r="L2" s="11" t="s">
        <v>274</v>
      </c>
      <c r="M2" s="11" t="s">
        <v>63</v>
      </c>
      <c r="N2" s="11"/>
      <c r="O2" s="11" t="s">
        <v>64</v>
      </c>
      <c r="P2" s="11"/>
      <c r="Q2" s="11" t="s">
        <v>275</v>
      </c>
    </row>
    <row r="3" spans="1:17" ht="28" x14ac:dyDescent="0.2">
      <c r="A3" s="11" t="s">
        <v>276</v>
      </c>
      <c r="B3" s="11" t="s">
        <v>277</v>
      </c>
      <c r="C3" s="11" t="s">
        <v>129</v>
      </c>
      <c r="D3" s="11" t="s">
        <v>130</v>
      </c>
      <c r="E3" s="13">
        <v>5</v>
      </c>
      <c r="F3" s="13">
        <v>4</v>
      </c>
      <c r="G3" s="13">
        <v>16800</v>
      </c>
      <c r="H3" s="13">
        <v>61</v>
      </c>
      <c r="I3" s="13"/>
      <c r="J3" s="21"/>
      <c r="K3" s="21"/>
      <c r="L3" s="11" t="s">
        <v>274</v>
      </c>
      <c r="M3" s="11" t="s">
        <v>63</v>
      </c>
      <c r="N3" s="11"/>
      <c r="O3" s="11" t="s">
        <v>64</v>
      </c>
      <c r="P3" s="11"/>
      <c r="Q3" s="11" t="s">
        <v>275</v>
      </c>
    </row>
    <row r="4" spans="1:17" ht="28" x14ac:dyDescent="0.2">
      <c r="A4" s="11" t="s">
        <v>278</v>
      </c>
      <c r="B4" s="11" t="s">
        <v>279</v>
      </c>
      <c r="C4" s="11" t="s">
        <v>129</v>
      </c>
      <c r="D4" s="11" t="s">
        <v>130</v>
      </c>
      <c r="E4" s="13">
        <v>4</v>
      </c>
      <c r="F4" s="13">
        <v>4</v>
      </c>
      <c r="G4" s="13">
        <v>15200</v>
      </c>
      <c r="H4" s="13">
        <v>57</v>
      </c>
      <c r="I4" s="13"/>
      <c r="J4" s="21"/>
      <c r="K4" s="21"/>
      <c r="L4" s="11" t="s">
        <v>274</v>
      </c>
      <c r="M4" s="11" t="s">
        <v>63</v>
      </c>
      <c r="N4" s="11"/>
      <c r="O4" s="11" t="s">
        <v>64</v>
      </c>
      <c r="P4" s="11"/>
      <c r="Q4" s="11" t="s">
        <v>275</v>
      </c>
    </row>
    <row r="5" spans="1:17" ht="28" x14ac:dyDescent="0.2">
      <c r="A5" s="11" t="s">
        <v>280</v>
      </c>
      <c r="B5" s="11" t="s">
        <v>281</v>
      </c>
      <c r="C5" s="11" t="s">
        <v>129</v>
      </c>
      <c r="D5" s="11" t="s">
        <v>130</v>
      </c>
      <c r="E5" s="13">
        <v>3</v>
      </c>
      <c r="F5" s="13">
        <v>3</v>
      </c>
      <c r="G5" s="13">
        <v>11900</v>
      </c>
      <c r="H5" s="13">
        <v>48</v>
      </c>
      <c r="I5" s="13"/>
      <c r="J5" s="21"/>
      <c r="K5" s="21"/>
      <c r="L5" s="11" t="s">
        <v>274</v>
      </c>
      <c r="M5" s="11" t="s">
        <v>63</v>
      </c>
      <c r="N5" s="11"/>
      <c r="O5" s="11" t="s">
        <v>64</v>
      </c>
      <c r="P5" s="11"/>
      <c r="Q5" s="11" t="s">
        <v>275</v>
      </c>
    </row>
    <row r="6" spans="1:17" ht="28" x14ac:dyDescent="0.2">
      <c r="A6" s="11" t="s">
        <v>282</v>
      </c>
      <c r="B6" s="11" t="s">
        <v>283</v>
      </c>
      <c r="C6" s="11" t="s">
        <v>134</v>
      </c>
      <c r="D6" s="11" t="s">
        <v>135</v>
      </c>
      <c r="E6" s="13">
        <v>7</v>
      </c>
      <c r="F6" s="13">
        <v>8</v>
      </c>
      <c r="G6" s="13">
        <v>34600</v>
      </c>
      <c r="H6" s="13">
        <v>216</v>
      </c>
      <c r="I6" s="13"/>
      <c r="J6" s="21"/>
      <c r="K6" s="21"/>
      <c r="L6" s="11" t="s">
        <v>274</v>
      </c>
      <c r="M6" s="11" t="s">
        <v>63</v>
      </c>
      <c r="N6" s="11"/>
      <c r="O6" s="11" t="s">
        <v>64</v>
      </c>
      <c r="P6" s="11"/>
      <c r="Q6" s="11" t="s">
        <v>275</v>
      </c>
    </row>
    <row r="7" spans="1:17" ht="28" x14ac:dyDescent="0.2">
      <c r="A7" s="11" t="s">
        <v>284</v>
      </c>
      <c r="B7" s="11" t="s">
        <v>285</v>
      </c>
      <c r="C7" s="11" t="s">
        <v>134</v>
      </c>
      <c r="D7" s="11" t="s">
        <v>135</v>
      </c>
      <c r="E7" s="13">
        <v>6</v>
      </c>
      <c r="F7" s="13">
        <v>6</v>
      </c>
      <c r="G7" s="13">
        <v>30200</v>
      </c>
      <c r="H7" s="13">
        <v>246</v>
      </c>
      <c r="I7" s="13"/>
      <c r="J7" s="21"/>
      <c r="K7" s="21"/>
      <c r="L7" s="11" t="s">
        <v>274</v>
      </c>
      <c r="M7" s="11" t="s">
        <v>63</v>
      </c>
      <c r="N7" s="11"/>
      <c r="O7" s="11" t="s">
        <v>64</v>
      </c>
      <c r="P7" s="11"/>
      <c r="Q7" s="11" t="s">
        <v>275</v>
      </c>
    </row>
    <row r="8" spans="1:17" ht="28" x14ac:dyDescent="0.2">
      <c r="A8" s="11" t="s">
        <v>286</v>
      </c>
      <c r="B8" s="11" t="s">
        <v>287</v>
      </c>
      <c r="C8" s="11" t="s">
        <v>134</v>
      </c>
      <c r="D8" s="11" t="s">
        <v>135</v>
      </c>
      <c r="E8" s="13">
        <v>5</v>
      </c>
      <c r="F8" s="13">
        <v>5</v>
      </c>
      <c r="G8" s="13">
        <v>24800</v>
      </c>
      <c r="H8" s="13">
        <v>168</v>
      </c>
      <c r="I8" s="13"/>
      <c r="J8" s="21"/>
      <c r="K8" s="21"/>
      <c r="L8" s="11" t="s">
        <v>274</v>
      </c>
      <c r="M8" s="11" t="s">
        <v>63</v>
      </c>
      <c r="N8" s="11"/>
      <c r="O8" s="11" t="s">
        <v>64</v>
      </c>
      <c r="P8" s="11"/>
      <c r="Q8" s="11" t="s">
        <v>275</v>
      </c>
    </row>
    <row r="9" spans="1:17" ht="28" x14ac:dyDescent="0.2">
      <c r="A9" s="11" t="s">
        <v>288</v>
      </c>
      <c r="B9" s="11" t="s">
        <v>289</v>
      </c>
      <c r="C9" s="11" t="s">
        <v>134</v>
      </c>
      <c r="D9" s="11" t="s">
        <v>135</v>
      </c>
      <c r="E9" s="13">
        <v>4</v>
      </c>
      <c r="F9" s="13">
        <v>6</v>
      </c>
      <c r="G9" s="13">
        <v>27400</v>
      </c>
      <c r="H9" s="13">
        <v>152</v>
      </c>
      <c r="I9" s="13"/>
      <c r="J9" s="21"/>
      <c r="K9" s="21"/>
      <c r="L9" s="11" t="s">
        <v>274</v>
      </c>
      <c r="M9" s="11" t="s">
        <v>63</v>
      </c>
      <c r="N9" s="11"/>
      <c r="O9" s="11" t="s">
        <v>64</v>
      </c>
      <c r="P9" s="11"/>
      <c r="Q9" s="11" t="s">
        <v>275</v>
      </c>
    </row>
    <row r="10" spans="1:17" ht="28" x14ac:dyDescent="0.2">
      <c r="A10" s="11" t="s">
        <v>290</v>
      </c>
      <c r="B10" s="11" t="s">
        <v>291</v>
      </c>
      <c r="C10" s="11" t="s">
        <v>136</v>
      </c>
      <c r="D10" s="11" t="s">
        <v>137</v>
      </c>
      <c r="E10" s="13">
        <v>4</v>
      </c>
      <c r="F10" s="13">
        <v>7</v>
      </c>
      <c r="G10" s="13">
        <v>23200</v>
      </c>
      <c r="H10" s="13">
        <v>187</v>
      </c>
      <c r="I10" s="13"/>
      <c r="J10" s="21"/>
      <c r="K10" s="21"/>
      <c r="L10" s="11" t="s">
        <v>274</v>
      </c>
      <c r="M10" s="11" t="s">
        <v>63</v>
      </c>
      <c r="N10" s="11"/>
      <c r="O10" s="11" t="s">
        <v>64</v>
      </c>
      <c r="P10" s="11"/>
      <c r="Q10" s="11" t="s">
        <v>275</v>
      </c>
    </row>
    <row r="11" spans="1:17" ht="28" x14ac:dyDescent="0.2">
      <c r="A11" s="11" t="s">
        <v>292</v>
      </c>
      <c r="B11" s="11" t="s">
        <v>293</v>
      </c>
      <c r="C11" s="11" t="s">
        <v>136</v>
      </c>
      <c r="D11" s="11" t="s">
        <v>137</v>
      </c>
      <c r="E11" s="13">
        <v>3</v>
      </c>
      <c r="F11" s="13">
        <v>5</v>
      </c>
      <c r="G11" s="13">
        <v>19400</v>
      </c>
      <c r="H11" s="13">
        <v>149</v>
      </c>
      <c r="I11" s="13"/>
      <c r="J11" s="21"/>
      <c r="K11" s="21"/>
      <c r="L11" s="11" t="s">
        <v>274</v>
      </c>
      <c r="M11" s="11" t="s">
        <v>63</v>
      </c>
      <c r="N11" s="11"/>
      <c r="O11" s="11" t="s">
        <v>64</v>
      </c>
      <c r="P11" s="11"/>
      <c r="Q11" s="11" t="s">
        <v>275</v>
      </c>
    </row>
    <row r="12" spans="1:17" ht="28" x14ac:dyDescent="0.2">
      <c r="A12" s="11" t="s">
        <v>294</v>
      </c>
      <c r="B12" s="11" t="s">
        <v>295</v>
      </c>
      <c r="C12" s="11" t="s">
        <v>136</v>
      </c>
      <c r="D12" s="11" t="s">
        <v>137</v>
      </c>
      <c r="E12" s="13">
        <v>2</v>
      </c>
      <c r="F12" s="13">
        <v>4</v>
      </c>
      <c r="G12" s="13">
        <v>15300</v>
      </c>
      <c r="H12" s="13">
        <v>102</v>
      </c>
      <c r="I12" s="13"/>
      <c r="J12" s="21"/>
      <c r="K12" s="21"/>
      <c r="L12" s="11" t="s">
        <v>274</v>
      </c>
      <c r="M12" s="11" t="s">
        <v>63</v>
      </c>
      <c r="N12" s="11"/>
      <c r="O12" s="11" t="s">
        <v>64</v>
      </c>
      <c r="P12" s="11"/>
      <c r="Q12" s="11" t="s">
        <v>275</v>
      </c>
    </row>
    <row r="13" spans="1:17" ht="28" x14ac:dyDescent="0.2">
      <c r="A13" s="11" t="s">
        <v>296</v>
      </c>
      <c r="B13" s="11" t="s">
        <v>297</v>
      </c>
      <c r="C13" s="11" t="s">
        <v>136</v>
      </c>
      <c r="D13" s="11" t="s">
        <v>137</v>
      </c>
      <c r="E13" s="13">
        <v>2</v>
      </c>
      <c r="F13" s="13">
        <v>3</v>
      </c>
      <c r="G13" s="13">
        <v>11600</v>
      </c>
      <c r="H13" s="13">
        <v>76</v>
      </c>
      <c r="I13" s="13"/>
      <c r="J13" s="21"/>
      <c r="K13" s="21"/>
      <c r="L13" s="11" t="s">
        <v>274</v>
      </c>
      <c r="M13" s="11" t="s">
        <v>63</v>
      </c>
      <c r="N13" s="11"/>
      <c r="O13" s="11" t="s">
        <v>64</v>
      </c>
      <c r="P13" s="11"/>
      <c r="Q13" s="11" t="s">
        <v>275</v>
      </c>
    </row>
    <row r="14" spans="1:17" ht="28" x14ac:dyDescent="0.2">
      <c r="A14" s="11" t="s">
        <v>298</v>
      </c>
      <c r="B14" s="11" t="s">
        <v>299</v>
      </c>
      <c r="C14" s="11" t="s">
        <v>138</v>
      </c>
      <c r="D14" s="11" t="s">
        <v>139</v>
      </c>
      <c r="E14" s="13">
        <v>5</v>
      </c>
      <c r="F14" s="13">
        <v>5</v>
      </c>
      <c r="G14" s="13">
        <v>18900</v>
      </c>
      <c r="H14" s="13">
        <v>121</v>
      </c>
      <c r="I14" s="13"/>
      <c r="J14" s="21"/>
      <c r="K14" s="21"/>
      <c r="L14" s="11" t="s">
        <v>274</v>
      </c>
      <c r="M14" s="11" t="s">
        <v>63</v>
      </c>
      <c r="N14" s="11"/>
      <c r="O14" s="11" t="s">
        <v>64</v>
      </c>
      <c r="P14" s="11"/>
      <c r="Q14" s="11" t="s">
        <v>275</v>
      </c>
    </row>
    <row r="15" spans="1:17" ht="28" x14ac:dyDescent="0.2">
      <c r="A15" s="11" t="s">
        <v>300</v>
      </c>
      <c r="B15" s="11" t="s">
        <v>301</v>
      </c>
      <c r="C15" s="11" t="s">
        <v>138</v>
      </c>
      <c r="D15" s="11" t="s">
        <v>139</v>
      </c>
      <c r="E15" s="13">
        <v>4</v>
      </c>
      <c r="F15" s="13">
        <v>4</v>
      </c>
      <c r="G15" s="13">
        <v>15600</v>
      </c>
      <c r="H15" s="13">
        <v>96</v>
      </c>
      <c r="I15" s="13"/>
      <c r="J15" s="21"/>
      <c r="K15" s="21"/>
      <c r="L15" s="11" t="s">
        <v>274</v>
      </c>
      <c r="M15" s="11" t="s">
        <v>63</v>
      </c>
      <c r="N15" s="11"/>
      <c r="O15" s="11" t="s">
        <v>64</v>
      </c>
      <c r="P15" s="11"/>
      <c r="Q15" s="11" t="s">
        <v>275</v>
      </c>
    </row>
    <row r="16" spans="1:17" ht="28" x14ac:dyDescent="0.2">
      <c r="A16" s="11" t="s">
        <v>302</v>
      </c>
      <c r="B16" s="11" t="s">
        <v>303</v>
      </c>
      <c r="C16" s="11" t="s">
        <v>138</v>
      </c>
      <c r="D16" s="11" t="s">
        <v>139</v>
      </c>
      <c r="E16" s="13">
        <v>3</v>
      </c>
      <c r="F16" s="13">
        <v>4</v>
      </c>
      <c r="G16" s="13">
        <v>14800</v>
      </c>
      <c r="H16" s="13">
        <v>78</v>
      </c>
      <c r="I16" s="13"/>
      <c r="J16" s="21"/>
      <c r="K16" s="21"/>
      <c r="L16" s="11" t="s">
        <v>274</v>
      </c>
      <c r="M16" s="11" t="s">
        <v>63</v>
      </c>
      <c r="N16" s="11"/>
      <c r="O16" s="11" t="s">
        <v>64</v>
      </c>
      <c r="P16" s="11"/>
      <c r="Q16" s="11" t="s">
        <v>275</v>
      </c>
    </row>
    <row r="17" spans="1:17" ht="28" x14ac:dyDescent="0.2">
      <c r="A17" s="11" t="s">
        <v>304</v>
      </c>
      <c r="B17" s="11" t="s">
        <v>305</v>
      </c>
      <c r="C17" s="11" t="s">
        <v>138</v>
      </c>
      <c r="D17" s="11" t="s">
        <v>139</v>
      </c>
      <c r="E17" s="13">
        <v>3</v>
      </c>
      <c r="F17" s="13">
        <v>3</v>
      </c>
      <c r="G17" s="13">
        <v>11200</v>
      </c>
      <c r="H17" s="13">
        <v>44</v>
      </c>
      <c r="I17" s="13"/>
      <c r="J17" s="21"/>
      <c r="K17" s="21"/>
      <c r="L17" s="11" t="s">
        <v>274</v>
      </c>
      <c r="M17" s="11" t="s">
        <v>63</v>
      </c>
      <c r="N17" s="11"/>
      <c r="O17" s="11" t="s">
        <v>64</v>
      </c>
      <c r="P17" s="11"/>
      <c r="Q17" s="11" t="s">
        <v>275</v>
      </c>
    </row>
    <row r="18" spans="1:17" ht="28" x14ac:dyDescent="0.2">
      <c r="A18" s="11" t="s">
        <v>306</v>
      </c>
      <c r="B18" s="11" t="s">
        <v>307</v>
      </c>
      <c r="C18" s="11" t="s">
        <v>140</v>
      </c>
      <c r="D18" s="11" t="s">
        <v>141</v>
      </c>
      <c r="E18" s="13">
        <v>5</v>
      </c>
      <c r="F18" s="13">
        <v>7</v>
      </c>
      <c r="G18" s="13">
        <v>26400</v>
      </c>
      <c r="H18" s="13">
        <v>358</v>
      </c>
      <c r="I18" s="13"/>
      <c r="J18" s="21"/>
      <c r="K18" s="21"/>
      <c r="L18" s="11" t="s">
        <v>274</v>
      </c>
      <c r="M18" s="11" t="s">
        <v>63</v>
      </c>
      <c r="N18" s="11"/>
      <c r="O18" s="11" t="s">
        <v>64</v>
      </c>
      <c r="P18" s="11"/>
      <c r="Q18" s="11" t="s">
        <v>275</v>
      </c>
    </row>
    <row r="19" spans="1:17" ht="28" x14ac:dyDescent="0.2">
      <c r="A19" s="11" t="s">
        <v>308</v>
      </c>
      <c r="B19" s="11" t="s">
        <v>309</v>
      </c>
      <c r="C19" s="11" t="s">
        <v>140</v>
      </c>
      <c r="D19" s="11" t="s">
        <v>141</v>
      </c>
      <c r="E19" s="13">
        <v>5</v>
      </c>
      <c r="F19" s="13">
        <v>6</v>
      </c>
      <c r="G19" s="13">
        <v>24100</v>
      </c>
      <c r="H19" s="13">
        <v>292</v>
      </c>
      <c r="I19" s="13"/>
      <c r="J19" s="21"/>
      <c r="K19" s="21"/>
      <c r="L19" s="11" t="s">
        <v>274</v>
      </c>
      <c r="M19" s="11" t="s">
        <v>63</v>
      </c>
      <c r="N19" s="11"/>
      <c r="O19" s="11" t="s">
        <v>64</v>
      </c>
      <c r="P19" s="11"/>
      <c r="Q19" s="11" t="s">
        <v>275</v>
      </c>
    </row>
    <row r="20" spans="1:17" ht="28" x14ac:dyDescent="0.2">
      <c r="A20" s="11" t="s">
        <v>310</v>
      </c>
      <c r="B20" s="11" t="s">
        <v>311</v>
      </c>
      <c r="C20" s="11" t="s">
        <v>140</v>
      </c>
      <c r="D20" s="11" t="s">
        <v>141</v>
      </c>
      <c r="E20" s="13">
        <v>4</v>
      </c>
      <c r="F20" s="13">
        <v>5</v>
      </c>
      <c r="G20" s="13">
        <v>21800</v>
      </c>
      <c r="H20" s="13">
        <v>247</v>
      </c>
      <c r="I20" s="13"/>
      <c r="J20" s="21"/>
      <c r="K20" s="21"/>
      <c r="L20" s="11" t="s">
        <v>274</v>
      </c>
      <c r="M20" s="11" t="s">
        <v>63</v>
      </c>
      <c r="N20" s="11"/>
      <c r="O20" s="11" t="s">
        <v>64</v>
      </c>
      <c r="P20" s="11"/>
      <c r="Q20" s="11" t="s">
        <v>275</v>
      </c>
    </row>
    <row r="21" spans="1:17" ht="28" x14ac:dyDescent="0.2">
      <c r="A21" s="11" t="s">
        <v>312</v>
      </c>
      <c r="B21" s="11" t="s">
        <v>313</v>
      </c>
      <c r="C21" s="11" t="s">
        <v>140</v>
      </c>
      <c r="D21" s="11" t="s">
        <v>141</v>
      </c>
      <c r="E21" s="13">
        <v>4</v>
      </c>
      <c r="F21" s="13">
        <v>4</v>
      </c>
      <c r="G21" s="13">
        <v>17600</v>
      </c>
      <c r="H21" s="13">
        <v>214</v>
      </c>
      <c r="I21" s="13"/>
      <c r="J21" s="21"/>
      <c r="K21" s="21"/>
      <c r="L21" s="11" t="s">
        <v>274</v>
      </c>
      <c r="M21" s="11" t="s">
        <v>63</v>
      </c>
      <c r="N21" s="11"/>
      <c r="O21" s="11" t="s">
        <v>64</v>
      </c>
      <c r="P21" s="11"/>
      <c r="Q21" s="11" t="s">
        <v>275</v>
      </c>
    </row>
  </sheetData>
  <dataValidations count="1">
    <dataValidation type="list" allowBlank="1" sqref="O2:O21" xr:uid="{00000000-0002-0000-0C00-000000000000}">
      <formula1>"معتمد,أولي,يحتاج مراجعة,غير محدد"</formula1>
    </dataValidation>
  </dataValidations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9"/>
  <sheetViews>
    <sheetView rightToLeft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1" customWidth="1"/>
    <col min="3" max="3" width="46" customWidth="1"/>
    <col min="4" max="4" width="9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3" customWidth="1"/>
    <col min="12" max="12" width="24" customWidth="1"/>
    <col min="13" max="13" width="20" customWidth="1"/>
    <col min="14" max="14" width="12" customWidth="1"/>
    <col min="15" max="15" width="24" customWidth="1"/>
    <col min="16" max="16" width="44" customWidth="1"/>
  </cols>
  <sheetData>
    <row r="1" spans="1:16" x14ac:dyDescent="0.2">
      <c r="A1" s="9" t="s">
        <v>314</v>
      </c>
      <c r="B1" s="9" t="s">
        <v>315</v>
      </c>
      <c r="C1" s="9" t="s">
        <v>316</v>
      </c>
      <c r="D1" s="9" t="s">
        <v>317</v>
      </c>
      <c r="E1" s="9" t="s">
        <v>318</v>
      </c>
      <c r="F1" s="9" t="s">
        <v>319</v>
      </c>
      <c r="G1" s="9" t="s">
        <v>320</v>
      </c>
      <c r="H1" s="9" t="s">
        <v>321</v>
      </c>
      <c r="I1" s="9" t="s">
        <v>322</v>
      </c>
      <c r="J1" s="9" t="s">
        <v>323</v>
      </c>
      <c r="K1" s="9" t="s">
        <v>42</v>
      </c>
      <c r="L1" s="10" t="s">
        <v>43</v>
      </c>
      <c r="M1" s="10" t="s">
        <v>44</v>
      </c>
      <c r="N1" s="10" t="s">
        <v>45</v>
      </c>
      <c r="O1" s="10" t="s">
        <v>46</v>
      </c>
      <c r="P1" s="9" t="s">
        <v>47</v>
      </c>
    </row>
    <row r="2" spans="1:16" x14ac:dyDescent="0.2">
      <c r="A2" s="11" t="s">
        <v>324</v>
      </c>
      <c r="B2" s="11" t="s">
        <v>325</v>
      </c>
      <c r="C2" s="11" t="s">
        <v>326</v>
      </c>
      <c r="D2" s="11" t="s">
        <v>327</v>
      </c>
      <c r="E2" s="11" t="s">
        <v>328</v>
      </c>
      <c r="F2" s="21" t="s">
        <v>329</v>
      </c>
      <c r="G2" s="22" t="s">
        <v>329</v>
      </c>
      <c r="H2" s="12"/>
      <c r="I2" s="12"/>
      <c r="J2" s="21"/>
      <c r="K2" s="11" t="s">
        <v>53</v>
      </c>
      <c r="L2" s="11" t="s">
        <v>63</v>
      </c>
      <c r="M2" s="11"/>
      <c r="N2" s="11" t="s">
        <v>64</v>
      </c>
      <c r="O2" s="11"/>
      <c r="P2" s="11" t="s">
        <v>330</v>
      </c>
    </row>
    <row r="3" spans="1:16" x14ac:dyDescent="0.2">
      <c r="A3" s="11" t="s">
        <v>331</v>
      </c>
      <c r="B3" s="11" t="s">
        <v>332</v>
      </c>
      <c r="C3" s="11" t="s">
        <v>333</v>
      </c>
      <c r="D3" s="11" t="s">
        <v>327</v>
      </c>
      <c r="E3" s="11" t="s">
        <v>328</v>
      </c>
      <c r="F3" s="21"/>
      <c r="G3" s="22" t="s">
        <v>334</v>
      </c>
      <c r="H3" s="12">
        <v>46113</v>
      </c>
      <c r="I3" s="12">
        <v>46142</v>
      </c>
      <c r="J3" s="21"/>
      <c r="K3" s="11" t="s">
        <v>53</v>
      </c>
      <c r="L3" s="11" t="s">
        <v>63</v>
      </c>
      <c r="M3" s="11"/>
      <c r="N3" s="11" t="s">
        <v>64</v>
      </c>
      <c r="O3" s="11"/>
      <c r="P3" s="11" t="s">
        <v>335</v>
      </c>
    </row>
    <row r="4" spans="1:16" x14ac:dyDescent="0.2">
      <c r="A4" s="11" t="s">
        <v>336</v>
      </c>
      <c r="B4" s="11" t="s">
        <v>337</v>
      </c>
      <c r="C4" s="11" t="s">
        <v>338</v>
      </c>
      <c r="D4" s="11" t="s">
        <v>327</v>
      </c>
      <c r="E4" s="11" t="s">
        <v>328</v>
      </c>
      <c r="F4" s="21"/>
      <c r="G4" s="22" t="s">
        <v>334</v>
      </c>
      <c r="H4" s="12">
        <v>46113</v>
      </c>
      <c r="I4" s="12">
        <v>46203</v>
      </c>
      <c r="J4" s="21"/>
      <c r="K4" s="11" t="s">
        <v>53</v>
      </c>
      <c r="L4" s="11" t="s">
        <v>63</v>
      </c>
      <c r="M4" s="11"/>
      <c r="N4" s="11" t="s">
        <v>64</v>
      </c>
      <c r="O4" s="11"/>
      <c r="P4" s="11" t="s">
        <v>335</v>
      </c>
    </row>
    <row r="5" spans="1:16" x14ac:dyDescent="0.2">
      <c r="A5" s="11" t="s">
        <v>339</v>
      </c>
      <c r="B5" s="11" t="s">
        <v>340</v>
      </c>
      <c r="C5" s="11" t="s">
        <v>341</v>
      </c>
      <c r="D5" s="11" t="s">
        <v>327</v>
      </c>
      <c r="E5" s="11" t="s">
        <v>328</v>
      </c>
      <c r="F5" s="21"/>
      <c r="G5" s="22" t="s">
        <v>342</v>
      </c>
      <c r="H5" s="12">
        <v>46113</v>
      </c>
      <c r="I5" s="12">
        <v>46507</v>
      </c>
      <c r="J5" s="21"/>
      <c r="K5" s="11" t="s">
        <v>53</v>
      </c>
      <c r="L5" s="11" t="s">
        <v>63</v>
      </c>
      <c r="M5" s="11"/>
      <c r="N5" s="11" t="s">
        <v>64</v>
      </c>
      <c r="O5" s="11"/>
      <c r="P5" s="11" t="s">
        <v>335</v>
      </c>
    </row>
    <row r="6" spans="1:16" x14ac:dyDescent="0.2">
      <c r="A6" s="11" t="s">
        <v>343</v>
      </c>
      <c r="B6" s="11" t="s">
        <v>344</v>
      </c>
      <c r="C6" s="11" t="s">
        <v>345</v>
      </c>
      <c r="D6" s="11" t="s">
        <v>327</v>
      </c>
      <c r="E6" s="11" t="s">
        <v>328</v>
      </c>
      <c r="F6" s="21"/>
      <c r="G6" s="22" t="s">
        <v>342</v>
      </c>
      <c r="H6" s="12">
        <v>46113</v>
      </c>
      <c r="I6" s="12">
        <v>46387</v>
      </c>
      <c r="J6" s="21"/>
      <c r="K6" s="11" t="s">
        <v>53</v>
      </c>
      <c r="L6" s="11" t="s">
        <v>63</v>
      </c>
      <c r="M6" s="11"/>
      <c r="N6" s="11" t="s">
        <v>64</v>
      </c>
      <c r="O6" s="11"/>
      <c r="P6" s="11" t="s">
        <v>335</v>
      </c>
    </row>
    <row r="7" spans="1:16" x14ac:dyDescent="0.2">
      <c r="A7" s="11" t="s">
        <v>346</v>
      </c>
      <c r="B7" s="11" t="s">
        <v>347</v>
      </c>
      <c r="C7" s="11" t="s">
        <v>348</v>
      </c>
      <c r="D7" s="11" t="s">
        <v>327</v>
      </c>
      <c r="E7" s="11" t="s">
        <v>328</v>
      </c>
      <c r="F7" s="21"/>
      <c r="G7" s="22" t="s">
        <v>334</v>
      </c>
      <c r="H7" s="12">
        <v>46113</v>
      </c>
      <c r="I7" s="12">
        <v>46234</v>
      </c>
      <c r="J7" s="21"/>
      <c r="K7" s="11" t="s">
        <v>53</v>
      </c>
      <c r="L7" s="11" t="s">
        <v>63</v>
      </c>
      <c r="M7" s="11"/>
      <c r="N7" s="11" t="s">
        <v>64</v>
      </c>
      <c r="O7" s="11"/>
      <c r="P7" s="11" t="s">
        <v>335</v>
      </c>
    </row>
    <row r="8" spans="1:16" x14ac:dyDescent="0.2">
      <c r="A8" s="11" t="s">
        <v>349</v>
      </c>
      <c r="B8" s="11" t="s">
        <v>350</v>
      </c>
      <c r="C8" s="11" t="s">
        <v>351</v>
      </c>
      <c r="D8" s="11" t="s">
        <v>352</v>
      </c>
      <c r="E8" s="11" t="s">
        <v>353</v>
      </c>
      <c r="F8" s="21"/>
      <c r="G8" s="22" t="s">
        <v>334</v>
      </c>
      <c r="H8" s="12">
        <v>46113</v>
      </c>
      <c r="I8" s="12">
        <v>46234</v>
      </c>
      <c r="J8" s="21"/>
      <c r="K8" s="11" t="s">
        <v>53</v>
      </c>
      <c r="L8" s="11" t="s">
        <v>63</v>
      </c>
      <c r="M8" s="11"/>
      <c r="N8" s="11" t="s">
        <v>64</v>
      </c>
      <c r="O8" s="11"/>
      <c r="P8" s="11" t="s">
        <v>335</v>
      </c>
    </row>
    <row r="9" spans="1:16" x14ac:dyDescent="0.2">
      <c r="A9" s="11" t="s">
        <v>354</v>
      </c>
      <c r="B9" s="11" t="s">
        <v>355</v>
      </c>
      <c r="C9" s="11" t="s">
        <v>356</v>
      </c>
      <c r="D9" s="11" t="s">
        <v>352</v>
      </c>
      <c r="E9" s="11" t="s">
        <v>353</v>
      </c>
      <c r="F9" s="21"/>
      <c r="G9" s="22" t="s">
        <v>342</v>
      </c>
      <c r="H9" s="12">
        <v>46113</v>
      </c>
      <c r="I9" s="12">
        <v>46295</v>
      </c>
      <c r="J9" s="21"/>
      <c r="K9" s="11" t="s">
        <v>53</v>
      </c>
      <c r="L9" s="11" t="s">
        <v>63</v>
      </c>
      <c r="M9" s="11"/>
      <c r="N9" s="11" t="s">
        <v>64</v>
      </c>
      <c r="O9" s="11"/>
      <c r="P9" s="11" t="s">
        <v>335</v>
      </c>
    </row>
    <row r="10" spans="1:16" x14ac:dyDescent="0.2">
      <c r="A10" s="11" t="s">
        <v>357</v>
      </c>
      <c r="B10" s="11" t="s">
        <v>358</v>
      </c>
      <c r="C10" s="11" t="s">
        <v>359</v>
      </c>
      <c r="D10" s="11" t="s">
        <v>352</v>
      </c>
      <c r="E10" s="11" t="s">
        <v>353</v>
      </c>
      <c r="F10" s="21"/>
      <c r="G10" s="22" t="s">
        <v>342</v>
      </c>
      <c r="H10" s="12">
        <v>46113</v>
      </c>
      <c r="I10" s="12">
        <v>46507</v>
      </c>
      <c r="J10" s="21"/>
      <c r="K10" s="11" t="s">
        <v>53</v>
      </c>
      <c r="L10" s="11" t="s">
        <v>63</v>
      </c>
      <c r="M10" s="11"/>
      <c r="N10" s="11" t="s">
        <v>64</v>
      </c>
      <c r="O10" s="11"/>
      <c r="P10" s="11" t="s">
        <v>335</v>
      </c>
    </row>
    <row r="11" spans="1:16" x14ac:dyDescent="0.2">
      <c r="A11" s="11" t="s">
        <v>360</v>
      </c>
      <c r="B11" s="11" t="s">
        <v>361</v>
      </c>
      <c r="C11" s="11" t="s">
        <v>362</v>
      </c>
      <c r="D11" s="11" t="s">
        <v>352</v>
      </c>
      <c r="E11" s="11" t="s">
        <v>353</v>
      </c>
      <c r="F11" s="21"/>
      <c r="G11" s="22" t="s">
        <v>342</v>
      </c>
      <c r="H11" s="12">
        <v>46113</v>
      </c>
      <c r="I11" s="12">
        <v>46295</v>
      </c>
      <c r="J11" s="21"/>
      <c r="K11" s="11" t="s">
        <v>53</v>
      </c>
      <c r="L11" s="11" t="s">
        <v>63</v>
      </c>
      <c r="M11" s="11"/>
      <c r="N11" s="11" t="s">
        <v>64</v>
      </c>
      <c r="O11" s="11"/>
      <c r="P11" s="11" t="s">
        <v>335</v>
      </c>
    </row>
    <row r="12" spans="1:16" x14ac:dyDescent="0.2">
      <c r="A12" s="11" t="s">
        <v>363</v>
      </c>
      <c r="B12" s="11" t="s">
        <v>364</v>
      </c>
      <c r="C12" s="11" t="s">
        <v>365</v>
      </c>
      <c r="D12" s="11" t="s">
        <v>366</v>
      </c>
      <c r="E12" s="11" t="s">
        <v>367</v>
      </c>
      <c r="F12" s="21" t="s">
        <v>329</v>
      </c>
      <c r="G12" s="22" t="s">
        <v>329</v>
      </c>
      <c r="H12" s="12"/>
      <c r="I12" s="12"/>
      <c r="J12" s="21"/>
      <c r="K12" s="11" t="s">
        <v>53</v>
      </c>
      <c r="L12" s="11" t="s">
        <v>63</v>
      </c>
      <c r="M12" s="11"/>
      <c r="N12" s="11" t="s">
        <v>64</v>
      </c>
      <c r="O12" s="11"/>
      <c r="P12" s="11" t="s">
        <v>330</v>
      </c>
    </row>
    <row r="13" spans="1:16" x14ac:dyDescent="0.2">
      <c r="A13" s="11" t="s">
        <v>368</v>
      </c>
      <c r="B13" s="11" t="s">
        <v>369</v>
      </c>
      <c r="C13" s="11" t="s">
        <v>370</v>
      </c>
      <c r="D13" s="11" t="s">
        <v>366</v>
      </c>
      <c r="E13" s="11" t="s">
        <v>367</v>
      </c>
      <c r="F13" s="21"/>
      <c r="G13" s="22" t="s">
        <v>334</v>
      </c>
      <c r="H13" s="12">
        <v>46113</v>
      </c>
      <c r="I13" s="12">
        <v>46234</v>
      </c>
      <c r="J13" s="21"/>
      <c r="K13" s="11" t="s">
        <v>53</v>
      </c>
      <c r="L13" s="11" t="s">
        <v>63</v>
      </c>
      <c r="M13" s="11"/>
      <c r="N13" s="11" t="s">
        <v>64</v>
      </c>
      <c r="O13" s="11"/>
      <c r="P13" s="11" t="s">
        <v>335</v>
      </c>
    </row>
    <row r="14" spans="1:16" x14ac:dyDescent="0.2">
      <c r="A14" s="11" t="s">
        <v>371</v>
      </c>
      <c r="B14" s="11" t="s">
        <v>372</v>
      </c>
      <c r="C14" s="11" t="s">
        <v>373</v>
      </c>
      <c r="D14" s="11" t="s">
        <v>366</v>
      </c>
      <c r="E14" s="11" t="s">
        <v>367</v>
      </c>
      <c r="F14" s="21"/>
      <c r="G14" s="22" t="s">
        <v>334</v>
      </c>
      <c r="H14" s="12">
        <v>46113</v>
      </c>
      <c r="I14" s="12">
        <v>46203</v>
      </c>
      <c r="J14" s="21"/>
      <c r="K14" s="11" t="s">
        <v>53</v>
      </c>
      <c r="L14" s="11" t="s">
        <v>63</v>
      </c>
      <c r="M14" s="11"/>
      <c r="N14" s="11" t="s">
        <v>64</v>
      </c>
      <c r="O14" s="11"/>
      <c r="P14" s="11" t="s">
        <v>335</v>
      </c>
    </row>
    <row r="15" spans="1:16" x14ac:dyDescent="0.2">
      <c r="A15" s="11" t="s">
        <v>374</v>
      </c>
      <c r="B15" s="11" t="s">
        <v>375</v>
      </c>
      <c r="C15" s="11" t="s">
        <v>376</v>
      </c>
      <c r="D15" s="11" t="s">
        <v>377</v>
      </c>
      <c r="E15" s="11" t="s">
        <v>378</v>
      </c>
      <c r="F15" s="21"/>
      <c r="G15" s="22" t="s">
        <v>334</v>
      </c>
      <c r="H15" s="12">
        <v>46113</v>
      </c>
      <c r="I15" s="12">
        <v>46142</v>
      </c>
      <c r="J15" s="21"/>
      <c r="K15" s="11" t="s">
        <v>53</v>
      </c>
      <c r="L15" s="11" t="s">
        <v>63</v>
      </c>
      <c r="M15" s="11"/>
      <c r="N15" s="11" t="s">
        <v>64</v>
      </c>
      <c r="O15" s="11"/>
      <c r="P15" s="11" t="s">
        <v>335</v>
      </c>
    </row>
    <row r="16" spans="1:16" x14ac:dyDescent="0.2">
      <c r="A16" s="11" t="s">
        <v>379</v>
      </c>
      <c r="B16" s="11" t="s">
        <v>380</v>
      </c>
      <c r="C16" s="11" t="s">
        <v>381</v>
      </c>
      <c r="D16" s="11" t="s">
        <v>377</v>
      </c>
      <c r="E16" s="11" t="s">
        <v>378</v>
      </c>
      <c r="F16" s="21"/>
      <c r="G16" s="22" t="s">
        <v>342</v>
      </c>
      <c r="H16" s="12">
        <v>46174</v>
      </c>
      <c r="I16" s="12">
        <v>46265</v>
      </c>
      <c r="J16" s="21"/>
      <c r="K16" s="11" t="s">
        <v>53</v>
      </c>
      <c r="L16" s="11" t="s">
        <v>63</v>
      </c>
      <c r="M16" s="11"/>
      <c r="N16" s="11" t="s">
        <v>64</v>
      </c>
      <c r="O16" s="11"/>
      <c r="P16" s="11" t="s">
        <v>335</v>
      </c>
    </row>
    <row r="17" spans="1:16" x14ac:dyDescent="0.2">
      <c r="A17" s="11" t="s">
        <v>382</v>
      </c>
      <c r="B17" s="11" t="s">
        <v>383</v>
      </c>
      <c r="C17" s="11" t="s">
        <v>384</v>
      </c>
      <c r="D17" s="11" t="s">
        <v>377</v>
      </c>
      <c r="E17" s="11" t="s">
        <v>378</v>
      </c>
      <c r="F17" s="21"/>
      <c r="G17" s="22" t="s">
        <v>342</v>
      </c>
      <c r="H17" s="12">
        <v>46113</v>
      </c>
      <c r="I17" s="12">
        <v>46295</v>
      </c>
      <c r="J17" s="21"/>
      <c r="K17" s="11" t="s">
        <v>53</v>
      </c>
      <c r="L17" s="11" t="s">
        <v>63</v>
      </c>
      <c r="M17" s="11"/>
      <c r="N17" s="11" t="s">
        <v>64</v>
      </c>
      <c r="O17" s="11"/>
      <c r="P17" s="11" t="s">
        <v>335</v>
      </c>
    </row>
    <row r="18" spans="1:16" x14ac:dyDescent="0.2">
      <c r="A18" s="11" t="s">
        <v>385</v>
      </c>
      <c r="B18" s="11" t="s">
        <v>386</v>
      </c>
      <c r="C18" s="11" t="s">
        <v>387</v>
      </c>
      <c r="D18" s="11" t="s">
        <v>377</v>
      </c>
      <c r="E18" s="11" t="s">
        <v>378</v>
      </c>
      <c r="F18" s="21"/>
      <c r="G18" s="22" t="s">
        <v>342</v>
      </c>
      <c r="H18" s="12">
        <v>46204</v>
      </c>
      <c r="I18" s="12">
        <v>46295</v>
      </c>
      <c r="J18" s="21"/>
      <c r="K18" s="11" t="s">
        <v>53</v>
      </c>
      <c r="L18" s="11" t="s">
        <v>63</v>
      </c>
      <c r="M18" s="11"/>
      <c r="N18" s="11" t="s">
        <v>64</v>
      </c>
      <c r="O18" s="11"/>
      <c r="P18" s="11" t="s">
        <v>335</v>
      </c>
    </row>
    <row r="19" spans="1:16" x14ac:dyDescent="0.2">
      <c r="A19" s="11" t="s">
        <v>388</v>
      </c>
      <c r="B19" s="11" t="s">
        <v>389</v>
      </c>
      <c r="C19" s="11" t="s">
        <v>390</v>
      </c>
      <c r="D19" s="11" t="s">
        <v>377</v>
      </c>
      <c r="E19" s="11" t="s">
        <v>378</v>
      </c>
      <c r="F19" s="21"/>
      <c r="G19" s="22" t="s">
        <v>342</v>
      </c>
      <c r="H19" s="12">
        <v>46143</v>
      </c>
      <c r="I19" s="12">
        <v>46324</v>
      </c>
      <c r="J19" s="21"/>
      <c r="K19" s="11" t="s">
        <v>53</v>
      </c>
      <c r="L19" s="11" t="s">
        <v>63</v>
      </c>
      <c r="M19" s="11"/>
      <c r="N19" s="11" t="s">
        <v>64</v>
      </c>
      <c r="O19" s="11"/>
      <c r="P19" s="11" t="s">
        <v>335</v>
      </c>
    </row>
  </sheetData>
  <dataValidations count="2">
    <dataValidation type="list" allowBlank="1" sqref="F2:F19" xr:uid="{00000000-0002-0000-0D00-000000000000}">
      <formula1>"منجزة,جاري العمل,متأخرة,لم تبدأ بعد"</formula1>
    </dataValidation>
    <dataValidation type="list" allowBlank="1" sqref="N2:N19" xr:uid="{00000000-0002-0000-0D00-000001000000}">
      <formula1>"معتمد,أولي,يحتاج مراجعة,غير محدد"</formula1>
    </dataValidation>
  </dataValidations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9"/>
  <sheetViews>
    <sheetView rightToLeft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3" customWidth="1"/>
    <col min="3" max="3" width="11" customWidth="1"/>
    <col min="4" max="5" width="40" customWidth="1"/>
    <col min="6" max="7" width="12" customWidth="1"/>
    <col min="8" max="8" width="14" customWidth="1"/>
    <col min="9" max="9" width="15" customWidth="1"/>
    <col min="10" max="10" width="8" customWidth="1"/>
    <col min="11" max="11" width="13" customWidth="1"/>
    <col min="12" max="12" width="24" customWidth="1"/>
    <col min="13" max="13" width="20" customWidth="1"/>
    <col min="14" max="14" width="12" customWidth="1"/>
    <col min="15" max="15" width="24" customWidth="1"/>
    <col min="16" max="16" width="44" customWidth="1"/>
  </cols>
  <sheetData>
    <row r="1" spans="1:16" x14ac:dyDescent="0.2">
      <c r="A1" s="9" t="s">
        <v>391</v>
      </c>
      <c r="B1" s="9" t="s">
        <v>314</v>
      </c>
      <c r="C1" s="9" t="s">
        <v>315</v>
      </c>
      <c r="D1" s="9" t="s">
        <v>392</v>
      </c>
      <c r="E1" s="9" t="s">
        <v>393</v>
      </c>
      <c r="F1" s="9" t="s">
        <v>321</v>
      </c>
      <c r="G1" s="9" t="s">
        <v>322</v>
      </c>
      <c r="H1" s="9" t="s">
        <v>394</v>
      </c>
      <c r="I1" s="9" t="s">
        <v>323</v>
      </c>
      <c r="J1" s="9" t="s">
        <v>146</v>
      </c>
      <c r="K1" s="9" t="s">
        <v>42</v>
      </c>
      <c r="L1" s="10" t="s">
        <v>43</v>
      </c>
      <c r="M1" s="10" t="s">
        <v>44</v>
      </c>
      <c r="N1" s="10" t="s">
        <v>45</v>
      </c>
      <c r="O1" s="10" t="s">
        <v>46</v>
      </c>
      <c r="P1" s="9" t="s">
        <v>47</v>
      </c>
    </row>
    <row r="2" spans="1:16" x14ac:dyDescent="0.2">
      <c r="A2" s="11" t="s">
        <v>395</v>
      </c>
      <c r="B2" s="11" t="s">
        <v>324</v>
      </c>
      <c r="C2" s="11" t="s">
        <v>325</v>
      </c>
      <c r="D2" s="11" t="s">
        <v>326</v>
      </c>
      <c r="E2" s="21" t="s">
        <v>326</v>
      </c>
      <c r="F2" s="12"/>
      <c r="G2" s="12"/>
      <c r="H2" s="21" t="s">
        <v>329</v>
      </c>
      <c r="I2" s="21"/>
      <c r="J2" s="11">
        <v>1</v>
      </c>
      <c r="K2" s="11" t="s">
        <v>53</v>
      </c>
      <c r="L2" s="11" t="s">
        <v>63</v>
      </c>
      <c r="M2" s="11"/>
      <c r="N2" s="11" t="s">
        <v>64</v>
      </c>
      <c r="O2" s="11"/>
      <c r="P2" s="11" t="s">
        <v>396</v>
      </c>
    </row>
    <row r="3" spans="1:16" x14ac:dyDescent="0.2">
      <c r="A3" s="11" t="s">
        <v>397</v>
      </c>
      <c r="B3" s="11" t="s">
        <v>331</v>
      </c>
      <c r="C3" s="11" t="s">
        <v>332</v>
      </c>
      <c r="D3" s="11" t="s">
        <v>333</v>
      </c>
      <c r="E3" s="21" t="s">
        <v>333</v>
      </c>
      <c r="F3" s="12">
        <v>46113</v>
      </c>
      <c r="G3" s="12">
        <v>46142</v>
      </c>
      <c r="H3" s="21" t="s">
        <v>334</v>
      </c>
      <c r="I3" s="21"/>
      <c r="J3" s="11">
        <v>2</v>
      </c>
      <c r="K3" s="11" t="s">
        <v>53</v>
      </c>
      <c r="L3" s="11" t="s">
        <v>63</v>
      </c>
      <c r="M3" s="11"/>
      <c r="N3" s="11" t="s">
        <v>64</v>
      </c>
      <c r="O3" s="11"/>
      <c r="P3" s="11" t="s">
        <v>396</v>
      </c>
    </row>
    <row r="4" spans="1:16" x14ac:dyDescent="0.2">
      <c r="A4" s="11" t="s">
        <v>398</v>
      </c>
      <c r="B4" s="11" t="s">
        <v>336</v>
      </c>
      <c r="C4" s="11" t="s">
        <v>337</v>
      </c>
      <c r="D4" s="11" t="s">
        <v>338</v>
      </c>
      <c r="E4" s="21" t="s">
        <v>338</v>
      </c>
      <c r="F4" s="12">
        <v>46113</v>
      </c>
      <c r="G4" s="12">
        <v>46203</v>
      </c>
      <c r="H4" s="21" t="s">
        <v>334</v>
      </c>
      <c r="I4" s="21"/>
      <c r="J4" s="11">
        <v>3</v>
      </c>
      <c r="K4" s="11" t="s">
        <v>53</v>
      </c>
      <c r="L4" s="11" t="s">
        <v>63</v>
      </c>
      <c r="M4" s="11"/>
      <c r="N4" s="11" t="s">
        <v>64</v>
      </c>
      <c r="O4" s="11"/>
      <c r="P4" s="11" t="s">
        <v>396</v>
      </c>
    </row>
    <row r="5" spans="1:16" x14ac:dyDescent="0.2">
      <c r="A5" s="11" t="s">
        <v>399</v>
      </c>
      <c r="B5" s="11" t="s">
        <v>339</v>
      </c>
      <c r="C5" s="11" t="s">
        <v>340</v>
      </c>
      <c r="D5" s="11" t="s">
        <v>341</v>
      </c>
      <c r="E5" s="21" t="s">
        <v>341</v>
      </c>
      <c r="F5" s="12">
        <v>46113</v>
      </c>
      <c r="G5" s="12">
        <v>46507</v>
      </c>
      <c r="H5" s="21" t="s">
        <v>342</v>
      </c>
      <c r="I5" s="21"/>
      <c r="J5" s="11">
        <v>4</v>
      </c>
      <c r="K5" s="11" t="s">
        <v>53</v>
      </c>
      <c r="L5" s="11" t="s">
        <v>63</v>
      </c>
      <c r="M5" s="11"/>
      <c r="N5" s="11" t="s">
        <v>64</v>
      </c>
      <c r="O5" s="11"/>
      <c r="P5" s="11" t="s">
        <v>396</v>
      </c>
    </row>
    <row r="6" spans="1:16" x14ac:dyDescent="0.2">
      <c r="A6" s="11" t="s">
        <v>400</v>
      </c>
      <c r="B6" s="11" t="s">
        <v>343</v>
      </c>
      <c r="C6" s="11" t="s">
        <v>344</v>
      </c>
      <c r="D6" s="11" t="s">
        <v>345</v>
      </c>
      <c r="E6" s="21" t="s">
        <v>345</v>
      </c>
      <c r="F6" s="12">
        <v>46113</v>
      </c>
      <c r="G6" s="12">
        <v>46387</v>
      </c>
      <c r="H6" s="21" t="s">
        <v>342</v>
      </c>
      <c r="I6" s="21"/>
      <c r="J6" s="11">
        <v>5</v>
      </c>
      <c r="K6" s="11" t="s">
        <v>53</v>
      </c>
      <c r="L6" s="11" t="s">
        <v>63</v>
      </c>
      <c r="M6" s="11"/>
      <c r="N6" s="11" t="s">
        <v>64</v>
      </c>
      <c r="O6" s="11"/>
      <c r="P6" s="11" t="s">
        <v>396</v>
      </c>
    </row>
    <row r="7" spans="1:16" x14ac:dyDescent="0.2">
      <c r="A7" s="11" t="s">
        <v>401</v>
      </c>
      <c r="B7" s="11" t="s">
        <v>346</v>
      </c>
      <c r="C7" s="11" t="s">
        <v>347</v>
      </c>
      <c r="D7" s="11" t="s">
        <v>348</v>
      </c>
      <c r="E7" s="21" t="s">
        <v>348</v>
      </c>
      <c r="F7" s="12">
        <v>46113</v>
      </c>
      <c r="G7" s="12">
        <v>46234</v>
      </c>
      <c r="H7" s="21" t="s">
        <v>334</v>
      </c>
      <c r="I7" s="21"/>
      <c r="J7" s="11">
        <v>6</v>
      </c>
      <c r="K7" s="11" t="s">
        <v>53</v>
      </c>
      <c r="L7" s="11" t="s">
        <v>63</v>
      </c>
      <c r="M7" s="11"/>
      <c r="N7" s="11" t="s">
        <v>64</v>
      </c>
      <c r="O7" s="11"/>
      <c r="P7" s="11" t="s">
        <v>396</v>
      </c>
    </row>
    <row r="8" spans="1:16" x14ac:dyDescent="0.2">
      <c r="A8" s="11" t="s">
        <v>402</v>
      </c>
      <c r="B8" s="11" t="s">
        <v>349</v>
      </c>
      <c r="C8" s="11" t="s">
        <v>350</v>
      </c>
      <c r="D8" s="11" t="s">
        <v>351</v>
      </c>
      <c r="E8" s="21" t="s">
        <v>351</v>
      </c>
      <c r="F8" s="12">
        <v>46113</v>
      </c>
      <c r="G8" s="12">
        <v>46234</v>
      </c>
      <c r="H8" s="21" t="s">
        <v>334</v>
      </c>
      <c r="I8" s="21"/>
      <c r="J8" s="11">
        <v>7</v>
      </c>
      <c r="K8" s="11" t="s">
        <v>53</v>
      </c>
      <c r="L8" s="11" t="s">
        <v>63</v>
      </c>
      <c r="M8" s="11"/>
      <c r="N8" s="11" t="s">
        <v>64</v>
      </c>
      <c r="O8" s="11"/>
      <c r="P8" s="11" t="s">
        <v>396</v>
      </c>
    </row>
    <row r="9" spans="1:16" x14ac:dyDescent="0.2">
      <c r="A9" s="11" t="s">
        <v>403</v>
      </c>
      <c r="B9" s="11" t="s">
        <v>354</v>
      </c>
      <c r="C9" s="11" t="s">
        <v>355</v>
      </c>
      <c r="D9" s="11" t="s">
        <v>356</v>
      </c>
      <c r="E9" s="21" t="s">
        <v>356</v>
      </c>
      <c r="F9" s="12">
        <v>46113</v>
      </c>
      <c r="G9" s="12">
        <v>46295</v>
      </c>
      <c r="H9" s="21" t="s">
        <v>342</v>
      </c>
      <c r="I9" s="21"/>
      <c r="J9" s="11">
        <v>8</v>
      </c>
      <c r="K9" s="11" t="s">
        <v>53</v>
      </c>
      <c r="L9" s="11" t="s">
        <v>63</v>
      </c>
      <c r="M9" s="11"/>
      <c r="N9" s="11" t="s">
        <v>64</v>
      </c>
      <c r="O9" s="11"/>
      <c r="P9" s="11" t="s">
        <v>396</v>
      </c>
    </row>
    <row r="10" spans="1:16" x14ac:dyDescent="0.2">
      <c r="A10" s="11" t="s">
        <v>404</v>
      </c>
      <c r="B10" s="11" t="s">
        <v>357</v>
      </c>
      <c r="C10" s="11" t="s">
        <v>358</v>
      </c>
      <c r="D10" s="11" t="s">
        <v>359</v>
      </c>
      <c r="E10" s="21" t="s">
        <v>359</v>
      </c>
      <c r="F10" s="12">
        <v>46113</v>
      </c>
      <c r="G10" s="12">
        <v>46507</v>
      </c>
      <c r="H10" s="21" t="s">
        <v>342</v>
      </c>
      <c r="I10" s="21"/>
      <c r="J10" s="11">
        <v>9</v>
      </c>
      <c r="K10" s="11" t="s">
        <v>53</v>
      </c>
      <c r="L10" s="11" t="s">
        <v>63</v>
      </c>
      <c r="M10" s="11"/>
      <c r="N10" s="11" t="s">
        <v>64</v>
      </c>
      <c r="O10" s="11"/>
      <c r="P10" s="11" t="s">
        <v>396</v>
      </c>
    </row>
    <row r="11" spans="1:16" x14ac:dyDescent="0.2">
      <c r="A11" s="11" t="s">
        <v>405</v>
      </c>
      <c r="B11" s="11" t="s">
        <v>360</v>
      </c>
      <c r="C11" s="11" t="s">
        <v>361</v>
      </c>
      <c r="D11" s="11" t="s">
        <v>362</v>
      </c>
      <c r="E11" s="21" t="s">
        <v>362</v>
      </c>
      <c r="F11" s="12">
        <v>46113</v>
      </c>
      <c r="G11" s="12">
        <v>46295</v>
      </c>
      <c r="H11" s="21" t="s">
        <v>342</v>
      </c>
      <c r="I11" s="21"/>
      <c r="J11" s="11">
        <v>10</v>
      </c>
      <c r="K11" s="11" t="s">
        <v>53</v>
      </c>
      <c r="L11" s="11" t="s">
        <v>63</v>
      </c>
      <c r="M11" s="11"/>
      <c r="N11" s="11" t="s">
        <v>64</v>
      </c>
      <c r="O11" s="11"/>
      <c r="P11" s="11" t="s">
        <v>396</v>
      </c>
    </row>
    <row r="12" spans="1:16" x14ac:dyDescent="0.2">
      <c r="A12" s="11" t="s">
        <v>406</v>
      </c>
      <c r="B12" s="11" t="s">
        <v>363</v>
      </c>
      <c r="C12" s="11" t="s">
        <v>364</v>
      </c>
      <c r="D12" s="11" t="s">
        <v>365</v>
      </c>
      <c r="E12" s="21" t="s">
        <v>365</v>
      </c>
      <c r="F12" s="12"/>
      <c r="G12" s="12"/>
      <c r="H12" s="21" t="s">
        <v>329</v>
      </c>
      <c r="I12" s="21"/>
      <c r="J12" s="11">
        <v>11</v>
      </c>
      <c r="K12" s="11" t="s">
        <v>53</v>
      </c>
      <c r="L12" s="11" t="s">
        <v>63</v>
      </c>
      <c r="M12" s="11"/>
      <c r="N12" s="11" t="s">
        <v>64</v>
      </c>
      <c r="O12" s="11"/>
      <c r="P12" s="11" t="s">
        <v>396</v>
      </c>
    </row>
    <row r="13" spans="1:16" x14ac:dyDescent="0.2">
      <c r="A13" s="11" t="s">
        <v>407</v>
      </c>
      <c r="B13" s="11" t="s">
        <v>368</v>
      </c>
      <c r="C13" s="11" t="s">
        <v>369</v>
      </c>
      <c r="D13" s="11" t="s">
        <v>370</v>
      </c>
      <c r="E13" s="21" t="s">
        <v>370</v>
      </c>
      <c r="F13" s="12">
        <v>46113</v>
      </c>
      <c r="G13" s="12">
        <v>46234</v>
      </c>
      <c r="H13" s="21" t="s">
        <v>334</v>
      </c>
      <c r="I13" s="21"/>
      <c r="J13" s="11">
        <v>12</v>
      </c>
      <c r="K13" s="11" t="s">
        <v>53</v>
      </c>
      <c r="L13" s="11" t="s">
        <v>63</v>
      </c>
      <c r="M13" s="11"/>
      <c r="N13" s="11" t="s">
        <v>64</v>
      </c>
      <c r="O13" s="11"/>
      <c r="P13" s="11" t="s">
        <v>396</v>
      </c>
    </row>
    <row r="14" spans="1:16" x14ac:dyDescent="0.2">
      <c r="A14" s="11" t="s">
        <v>408</v>
      </c>
      <c r="B14" s="11" t="s">
        <v>371</v>
      </c>
      <c r="C14" s="11" t="s">
        <v>372</v>
      </c>
      <c r="D14" s="11" t="s">
        <v>373</v>
      </c>
      <c r="E14" s="21" t="s">
        <v>373</v>
      </c>
      <c r="F14" s="12">
        <v>46113</v>
      </c>
      <c r="G14" s="12">
        <v>46203</v>
      </c>
      <c r="H14" s="21" t="s">
        <v>334</v>
      </c>
      <c r="I14" s="21"/>
      <c r="J14" s="11">
        <v>13</v>
      </c>
      <c r="K14" s="11" t="s">
        <v>53</v>
      </c>
      <c r="L14" s="11" t="s">
        <v>63</v>
      </c>
      <c r="M14" s="11"/>
      <c r="N14" s="11" t="s">
        <v>64</v>
      </c>
      <c r="O14" s="11"/>
      <c r="P14" s="11" t="s">
        <v>396</v>
      </c>
    </row>
    <row r="15" spans="1:16" x14ac:dyDescent="0.2">
      <c r="A15" s="11" t="s">
        <v>409</v>
      </c>
      <c r="B15" s="11" t="s">
        <v>374</v>
      </c>
      <c r="C15" s="11" t="s">
        <v>375</v>
      </c>
      <c r="D15" s="11" t="s">
        <v>376</v>
      </c>
      <c r="E15" s="21" t="s">
        <v>376</v>
      </c>
      <c r="F15" s="12">
        <v>46113</v>
      </c>
      <c r="G15" s="12">
        <v>46142</v>
      </c>
      <c r="H15" s="21" t="s">
        <v>334</v>
      </c>
      <c r="I15" s="21"/>
      <c r="J15" s="11">
        <v>14</v>
      </c>
      <c r="K15" s="11" t="s">
        <v>53</v>
      </c>
      <c r="L15" s="11" t="s">
        <v>63</v>
      </c>
      <c r="M15" s="11"/>
      <c r="N15" s="11" t="s">
        <v>64</v>
      </c>
      <c r="O15" s="11"/>
      <c r="P15" s="11" t="s">
        <v>396</v>
      </c>
    </row>
    <row r="16" spans="1:16" x14ac:dyDescent="0.2">
      <c r="A16" s="11" t="s">
        <v>410</v>
      </c>
      <c r="B16" s="11" t="s">
        <v>379</v>
      </c>
      <c r="C16" s="11" t="s">
        <v>380</v>
      </c>
      <c r="D16" s="11" t="s">
        <v>381</v>
      </c>
      <c r="E16" s="21" t="s">
        <v>381</v>
      </c>
      <c r="F16" s="12">
        <v>46174</v>
      </c>
      <c r="G16" s="12">
        <v>46265</v>
      </c>
      <c r="H16" s="21" t="s">
        <v>342</v>
      </c>
      <c r="I16" s="21"/>
      <c r="J16" s="11">
        <v>15</v>
      </c>
      <c r="K16" s="11" t="s">
        <v>53</v>
      </c>
      <c r="L16" s="11" t="s">
        <v>63</v>
      </c>
      <c r="M16" s="11"/>
      <c r="N16" s="11" t="s">
        <v>64</v>
      </c>
      <c r="O16" s="11"/>
      <c r="P16" s="11" t="s">
        <v>396</v>
      </c>
    </row>
    <row r="17" spans="1:16" x14ac:dyDescent="0.2">
      <c r="A17" s="11" t="s">
        <v>411</v>
      </c>
      <c r="B17" s="11" t="s">
        <v>382</v>
      </c>
      <c r="C17" s="11" t="s">
        <v>383</v>
      </c>
      <c r="D17" s="11" t="s">
        <v>384</v>
      </c>
      <c r="E17" s="21" t="s">
        <v>384</v>
      </c>
      <c r="F17" s="12">
        <v>46113</v>
      </c>
      <c r="G17" s="12">
        <v>46295</v>
      </c>
      <c r="H17" s="21" t="s">
        <v>342</v>
      </c>
      <c r="I17" s="21"/>
      <c r="J17" s="11">
        <v>16</v>
      </c>
      <c r="K17" s="11" t="s">
        <v>53</v>
      </c>
      <c r="L17" s="11" t="s">
        <v>63</v>
      </c>
      <c r="M17" s="11"/>
      <c r="N17" s="11" t="s">
        <v>64</v>
      </c>
      <c r="O17" s="11"/>
      <c r="P17" s="11" t="s">
        <v>396</v>
      </c>
    </row>
    <row r="18" spans="1:16" x14ac:dyDescent="0.2">
      <c r="A18" s="11" t="s">
        <v>412</v>
      </c>
      <c r="B18" s="11" t="s">
        <v>385</v>
      </c>
      <c r="C18" s="11" t="s">
        <v>386</v>
      </c>
      <c r="D18" s="11" t="s">
        <v>387</v>
      </c>
      <c r="E18" s="21" t="s">
        <v>387</v>
      </c>
      <c r="F18" s="12">
        <v>46204</v>
      </c>
      <c r="G18" s="12">
        <v>46295</v>
      </c>
      <c r="H18" s="21" t="s">
        <v>342</v>
      </c>
      <c r="I18" s="21"/>
      <c r="J18" s="11">
        <v>17</v>
      </c>
      <c r="K18" s="11" t="s">
        <v>53</v>
      </c>
      <c r="L18" s="11" t="s">
        <v>63</v>
      </c>
      <c r="M18" s="11"/>
      <c r="N18" s="11" t="s">
        <v>64</v>
      </c>
      <c r="O18" s="11"/>
      <c r="P18" s="11" t="s">
        <v>396</v>
      </c>
    </row>
    <row r="19" spans="1:16" x14ac:dyDescent="0.2">
      <c r="A19" s="11" t="s">
        <v>413</v>
      </c>
      <c r="B19" s="11" t="s">
        <v>388</v>
      </c>
      <c r="C19" s="11" t="s">
        <v>389</v>
      </c>
      <c r="D19" s="11" t="s">
        <v>390</v>
      </c>
      <c r="E19" s="21" t="s">
        <v>390</v>
      </c>
      <c r="F19" s="12">
        <v>46143</v>
      </c>
      <c r="G19" s="12">
        <v>46324</v>
      </c>
      <c r="H19" s="21" t="s">
        <v>342</v>
      </c>
      <c r="I19" s="21"/>
      <c r="J19" s="11">
        <v>18</v>
      </c>
      <c r="K19" s="11" t="s">
        <v>53</v>
      </c>
      <c r="L19" s="11" t="s">
        <v>63</v>
      </c>
      <c r="M19" s="11"/>
      <c r="N19" s="11" t="s">
        <v>64</v>
      </c>
      <c r="O19" s="11"/>
      <c r="P19" s="11" t="s">
        <v>396</v>
      </c>
    </row>
  </sheetData>
  <dataValidations count="2">
    <dataValidation type="list" allowBlank="1" sqref="H2:H19" xr:uid="{00000000-0002-0000-0E00-000000000000}">
      <formula1>"منجزة,جاري العمل,متأخرة,لم تبدأ بعد"</formula1>
    </dataValidation>
    <dataValidation type="list" allowBlank="1" sqref="N2:N19" xr:uid="{00000000-0002-0000-0E00-000001000000}">
      <formula1>"معتمد,أولي,يحتاج مراجعة,غير محدد"</formula1>
    </dataValidation>
  </dataValidations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5"/>
  <sheetViews>
    <sheetView rightToLeft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42" customWidth="1"/>
    <col min="3" max="3" width="9" customWidth="1"/>
    <col min="4" max="4" width="12" customWidth="1"/>
    <col min="5" max="5" width="11" customWidth="1"/>
    <col min="6" max="6" width="12" customWidth="1"/>
    <col min="7" max="7" width="11" customWidth="1"/>
    <col min="8" max="8" width="9" customWidth="1"/>
    <col min="9" max="9" width="10" customWidth="1"/>
    <col min="10" max="10" width="13" customWidth="1"/>
    <col min="11" max="11" width="12" customWidth="1"/>
    <col min="12" max="12" width="13" customWidth="1"/>
    <col min="13" max="13" width="24" customWidth="1"/>
    <col min="14" max="14" width="20" customWidth="1"/>
    <col min="15" max="15" width="12" customWidth="1"/>
    <col min="16" max="16" width="24" customWidth="1"/>
    <col min="17" max="17" width="46" customWidth="1"/>
  </cols>
  <sheetData>
    <row r="1" spans="1:17" x14ac:dyDescent="0.2">
      <c r="A1" s="9" t="s">
        <v>414</v>
      </c>
      <c r="B1" s="9" t="s">
        <v>99</v>
      </c>
      <c r="C1" s="9" t="s">
        <v>317</v>
      </c>
      <c r="D1" s="9" t="s">
        <v>318</v>
      </c>
      <c r="E1" s="9" t="s">
        <v>415</v>
      </c>
      <c r="F1" s="9" t="s">
        <v>161</v>
      </c>
      <c r="G1" s="9" t="s">
        <v>416</v>
      </c>
      <c r="H1" s="9" t="s">
        <v>39</v>
      </c>
      <c r="I1" s="9" t="s">
        <v>417</v>
      </c>
      <c r="J1" s="9" t="s">
        <v>418</v>
      </c>
      <c r="K1" s="9" t="s">
        <v>40</v>
      </c>
      <c r="L1" s="9" t="s">
        <v>42</v>
      </c>
      <c r="M1" s="10" t="s">
        <v>43</v>
      </c>
      <c r="N1" s="10" t="s">
        <v>44</v>
      </c>
      <c r="O1" s="10" t="s">
        <v>45</v>
      </c>
      <c r="P1" s="10" t="s">
        <v>46</v>
      </c>
      <c r="Q1" s="9" t="s">
        <v>47</v>
      </c>
    </row>
    <row r="2" spans="1:17" ht="28" x14ac:dyDescent="0.2">
      <c r="A2" s="11" t="s">
        <v>419</v>
      </c>
      <c r="B2" s="11" t="s">
        <v>420</v>
      </c>
      <c r="C2" s="11" t="s">
        <v>352</v>
      </c>
      <c r="D2" s="11" t="s">
        <v>353</v>
      </c>
      <c r="E2" s="20">
        <v>0</v>
      </c>
      <c r="F2" s="20">
        <v>0.62</v>
      </c>
      <c r="G2" s="20">
        <v>0.8</v>
      </c>
      <c r="H2" s="11" t="s">
        <v>72</v>
      </c>
      <c r="I2" s="11" t="s">
        <v>72</v>
      </c>
      <c r="J2" s="11" t="s">
        <v>421</v>
      </c>
      <c r="K2" s="11" t="s">
        <v>57</v>
      </c>
      <c r="L2" s="11" t="s">
        <v>422</v>
      </c>
      <c r="M2" s="11" t="s">
        <v>63</v>
      </c>
      <c r="N2" s="11" t="s">
        <v>423</v>
      </c>
      <c r="O2" s="11" t="s">
        <v>77</v>
      </c>
      <c r="P2" s="11" t="s">
        <v>424</v>
      </c>
      <c r="Q2" s="11" t="s">
        <v>425</v>
      </c>
    </row>
    <row r="3" spans="1:17" ht="28" x14ac:dyDescent="0.2">
      <c r="A3" s="11" t="s">
        <v>426</v>
      </c>
      <c r="B3" s="11" t="s">
        <v>427</v>
      </c>
      <c r="C3" s="11" t="s">
        <v>377</v>
      </c>
      <c r="D3" s="11" t="s">
        <v>378</v>
      </c>
      <c r="E3" s="20">
        <v>0</v>
      </c>
      <c r="F3" s="20">
        <v>0.55000000000000004</v>
      </c>
      <c r="G3" s="20">
        <v>1</v>
      </c>
      <c r="H3" s="11" t="s">
        <v>72</v>
      </c>
      <c r="I3" s="11" t="s">
        <v>72</v>
      </c>
      <c r="J3" s="11" t="s">
        <v>421</v>
      </c>
      <c r="K3" s="11" t="s">
        <v>57</v>
      </c>
      <c r="L3" s="11" t="s">
        <v>422</v>
      </c>
      <c r="M3" s="11" t="s">
        <v>63</v>
      </c>
      <c r="N3" s="11" t="s">
        <v>423</v>
      </c>
      <c r="O3" s="11" t="s">
        <v>77</v>
      </c>
      <c r="P3" s="11" t="s">
        <v>424</v>
      </c>
      <c r="Q3" s="11" t="s">
        <v>425</v>
      </c>
    </row>
    <row r="4" spans="1:17" ht="28" x14ac:dyDescent="0.2">
      <c r="A4" s="11" t="s">
        <v>428</v>
      </c>
      <c r="B4" s="11" t="s">
        <v>429</v>
      </c>
      <c r="C4" s="11" t="s">
        <v>327</v>
      </c>
      <c r="D4" s="11" t="s">
        <v>328</v>
      </c>
      <c r="E4" s="13">
        <v>0</v>
      </c>
      <c r="F4" s="13">
        <v>4</v>
      </c>
      <c r="G4" s="13">
        <v>10</v>
      </c>
      <c r="H4" s="11" t="s">
        <v>430</v>
      </c>
      <c r="I4" s="11" t="s">
        <v>431</v>
      </c>
      <c r="J4" s="11" t="s">
        <v>421</v>
      </c>
      <c r="K4" s="11" t="s">
        <v>57</v>
      </c>
      <c r="L4" s="11" t="s">
        <v>422</v>
      </c>
      <c r="M4" s="11" t="s">
        <v>63</v>
      </c>
      <c r="N4" s="11" t="s">
        <v>423</v>
      </c>
      <c r="O4" s="11" t="s">
        <v>77</v>
      </c>
      <c r="P4" s="11" t="s">
        <v>424</v>
      </c>
      <c r="Q4" s="11" t="s">
        <v>425</v>
      </c>
    </row>
    <row r="5" spans="1:17" ht="28" x14ac:dyDescent="0.2">
      <c r="A5" s="11" t="s">
        <v>432</v>
      </c>
      <c r="B5" s="11" t="s">
        <v>433</v>
      </c>
      <c r="C5" s="11" t="s">
        <v>327</v>
      </c>
      <c r="D5" s="11" t="s">
        <v>328</v>
      </c>
      <c r="E5" s="13">
        <v>0</v>
      </c>
      <c r="F5" s="13">
        <v>1</v>
      </c>
      <c r="G5" s="13">
        <v>3</v>
      </c>
      <c r="H5" s="11" t="s">
        <v>434</v>
      </c>
      <c r="I5" s="11" t="s">
        <v>431</v>
      </c>
      <c r="J5" s="11" t="s">
        <v>421</v>
      </c>
      <c r="K5" s="11" t="s">
        <v>57</v>
      </c>
      <c r="L5" s="11" t="s">
        <v>422</v>
      </c>
      <c r="M5" s="11" t="s">
        <v>63</v>
      </c>
      <c r="N5" s="11" t="s">
        <v>423</v>
      </c>
      <c r="O5" s="11" t="s">
        <v>77</v>
      </c>
      <c r="P5" s="11" t="s">
        <v>424</v>
      </c>
      <c r="Q5" s="11" t="s">
        <v>425</v>
      </c>
    </row>
    <row r="6" spans="1:17" ht="28" x14ac:dyDescent="0.2">
      <c r="A6" s="11" t="s">
        <v>435</v>
      </c>
      <c r="B6" s="11" t="s">
        <v>436</v>
      </c>
      <c r="C6" s="11" t="s">
        <v>327</v>
      </c>
      <c r="D6" s="11" t="s">
        <v>328</v>
      </c>
      <c r="E6" s="13">
        <v>130000</v>
      </c>
      <c r="F6" s="13">
        <v>136437</v>
      </c>
      <c r="G6" s="13">
        <v>260000</v>
      </c>
      <c r="H6" s="11" t="s">
        <v>67</v>
      </c>
      <c r="I6" s="11" t="s">
        <v>431</v>
      </c>
      <c r="J6" s="11" t="s">
        <v>421</v>
      </c>
      <c r="K6" s="11" t="s">
        <v>57</v>
      </c>
      <c r="L6" s="11" t="s">
        <v>422</v>
      </c>
      <c r="M6" s="11" t="s">
        <v>63</v>
      </c>
      <c r="N6" s="11" t="s">
        <v>423</v>
      </c>
      <c r="O6" s="11" t="s">
        <v>77</v>
      </c>
      <c r="P6" s="11" t="s">
        <v>424</v>
      </c>
      <c r="Q6" s="11" t="s">
        <v>437</v>
      </c>
    </row>
    <row r="7" spans="1:17" ht="28" x14ac:dyDescent="0.2">
      <c r="A7" s="11" t="s">
        <v>438</v>
      </c>
      <c r="B7" s="11" t="s">
        <v>439</v>
      </c>
      <c r="C7" s="11" t="s">
        <v>327</v>
      </c>
      <c r="D7" s="11" t="s">
        <v>328</v>
      </c>
      <c r="E7" s="20">
        <v>0.5</v>
      </c>
      <c r="F7" s="20">
        <v>0.54</v>
      </c>
      <c r="G7" s="20">
        <v>0.6</v>
      </c>
      <c r="H7" s="11" t="s">
        <v>72</v>
      </c>
      <c r="I7" s="11" t="s">
        <v>72</v>
      </c>
      <c r="J7" s="11" t="s">
        <v>421</v>
      </c>
      <c r="K7" s="11" t="s">
        <v>57</v>
      </c>
      <c r="L7" s="11" t="s">
        <v>422</v>
      </c>
      <c r="M7" s="11" t="s">
        <v>63</v>
      </c>
      <c r="N7" s="11" t="s">
        <v>423</v>
      </c>
      <c r="O7" s="11" t="s">
        <v>77</v>
      </c>
      <c r="P7" s="11" t="s">
        <v>424</v>
      </c>
      <c r="Q7" s="11" t="s">
        <v>425</v>
      </c>
    </row>
    <row r="8" spans="1:17" ht="28" x14ac:dyDescent="0.2">
      <c r="A8" s="11" t="s">
        <v>440</v>
      </c>
      <c r="B8" s="11" t="s">
        <v>441</v>
      </c>
      <c r="C8" s="11" t="s">
        <v>352</v>
      </c>
      <c r="D8" s="11" t="s">
        <v>353</v>
      </c>
      <c r="E8" s="20">
        <v>0</v>
      </c>
      <c r="F8" s="20">
        <v>0.35</v>
      </c>
      <c r="G8" s="20">
        <v>1</v>
      </c>
      <c r="H8" s="11" t="s">
        <v>72</v>
      </c>
      <c r="I8" s="11" t="s">
        <v>72</v>
      </c>
      <c r="J8" s="11" t="s">
        <v>421</v>
      </c>
      <c r="K8" s="11" t="s">
        <v>57</v>
      </c>
      <c r="L8" s="11" t="s">
        <v>422</v>
      </c>
      <c r="M8" s="11" t="s">
        <v>63</v>
      </c>
      <c r="N8" s="11" t="s">
        <v>423</v>
      </c>
      <c r="O8" s="11" t="s">
        <v>77</v>
      </c>
      <c r="P8" s="11" t="s">
        <v>424</v>
      </c>
      <c r="Q8" s="11" t="s">
        <v>425</v>
      </c>
    </row>
    <row r="9" spans="1:17" ht="28" x14ac:dyDescent="0.2">
      <c r="A9" s="11" t="s">
        <v>442</v>
      </c>
      <c r="B9" s="11" t="s">
        <v>443</v>
      </c>
      <c r="C9" s="11" t="s">
        <v>366</v>
      </c>
      <c r="D9" s="11" t="s">
        <v>367</v>
      </c>
      <c r="E9" s="20">
        <v>0.15</v>
      </c>
      <c r="F9" s="20">
        <v>0.21</v>
      </c>
      <c r="G9" s="20">
        <v>0.3</v>
      </c>
      <c r="H9" s="11" t="s">
        <v>72</v>
      </c>
      <c r="I9" s="11" t="s">
        <v>72</v>
      </c>
      <c r="J9" s="11" t="s">
        <v>421</v>
      </c>
      <c r="K9" s="11" t="s">
        <v>57</v>
      </c>
      <c r="L9" s="11" t="s">
        <v>422</v>
      </c>
      <c r="M9" s="11" t="s">
        <v>63</v>
      </c>
      <c r="N9" s="11" t="s">
        <v>423</v>
      </c>
      <c r="O9" s="11" t="s">
        <v>77</v>
      </c>
      <c r="P9" s="11" t="s">
        <v>424</v>
      </c>
      <c r="Q9" s="11" t="s">
        <v>425</v>
      </c>
    </row>
    <row r="10" spans="1:17" ht="28" x14ac:dyDescent="0.2">
      <c r="A10" s="11" t="s">
        <v>444</v>
      </c>
      <c r="B10" s="11" t="s">
        <v>445</v>
      </c>
      <c r="C10" s="11" t="s">
        <v>377</v>
      </c>
      <c r="D10" s="11" t="s">
        <v>378</v>
      </c>
      <c r="E10" s="20">
        <v>0</v>
      </c>
      <c r="F10" s="20">
        <v>0.4</v>
      </c>
      <c r="G10" s="20">
        <v>1</v>
      </c>
      <c r="H10" s="11" t="s">
        <v>72</v>
      </c>
      <c r="I10" s="11" t="s">
        <v>72</v>
      </c>
      <c r="J10" s="11" t="s">
        <v>421</v>
      </c>
      <c r="K10" s="11" t="s">
        <v>57</v>
      </c>
      <c r="L10" s="11" t="s">
        <v>422</v>
      </c>
      <c r="M10" s="11" t="s">
        <v>63</v>
      </c>
      <c r="N10" s="11" t="s">
        <v>423</v>
      </c>
      <c r="O10" s="11" t="s">
        <v>77</v>
      </c>
      <c r="P10" s="11" t="s">
        <v>424</v>
      </c>
      <c r="Q10" s="11" t="s">
        <v>425</v>
      </c>
    </row>
    <row r="11" spans="1:17" ht="28" x14ac:dyDescent="0.2">
      <c r="A11" s="11" t="s">
        <v>446</v>
      </c>
      <c r="B11" s="11" t="s">
        <v>447</v>
      </c>
      <c r="C11" s="11" t="s">
        <v>377</v>
      </c>
      <c r="D11" s="11" t="s">
        <v>378</v>
      </c>
      <c r="E11" s="20">
        <v>0</v>
      </c>
      <c r="F11" s="20">
        <v>0.5</v>
      </c>
      <c r="G11" s="20">
        <v>1</v>
      </c>
      <c r="H11" s="11" t="s">
        <v>72</v>
      </c>
      <c r="I11" s="11" t="s">
        <v>72</v>
      </c>
      <c r="J11" s="11" t="s">
        <v>421</v>
      </c>
      <c r="K11" s="11" t="s">
        <v>57</v>
      </c>
      <c r="L11" s="11" t="s">
        <v>422</v>
      </c>
      <c r="M11" s="11" t="s">
        <v>63</v>
      </c>
      <c r="N11" s="11" t="s">
        <v>423</v>
      </c>
      <c r="O11" s="11" t="s">
        <v>77</v>
      </c>
      <c r="P11" s="11" t="s">
        <v>424</v>
      </c>
      <c r="Q11" s="11" t="s">
        <v>425</v>
      </c>
    </row>
    <row r="12" spans="1:17" ht="28" x14ac:dyDescent="0.2">
      <c r="A12" s="11" t="s">
        <v>448</v>
      </c>
      <c r="B12" s="11" t="s">
        <v>449</v>
      </c>
      <c r="C12" s="11" t="s">
        <v>377</v>
      </c>
      <c r="D12" s="11" t="s">
        <v>378</v>
      </c>
      <c r="E12" s="20">
        <v>0</v>
      </c>
      <c r="F12" s="20">
        <v>0.45</v>
      </c>
      <c r="G12" s="20">
        <v>1</v>
      </c>
      <c r="H12" s="11" t="s">
        <v>72</v>
      </c>
      <c r="I12" s="11" t="s">
        <v>72</v>
      </c>
      <c r="J12" s="11" t="s">
        <v>421</v>
      </c>
      <c r="K12" s="11" t="s">
        <v>57</v>
      </c>
      <c r="L12" s="11" t="s">
        <v>422</v>
      </c>
      <c r="M12" s="11" t="s">
        <v>63</v>
      </c>
      <c r="N12" s="11" t="s">
        <v>423</v>
      </c>
      <c r="O12" s="11" t="s">
        <v>77</v>
      </c>
      <c r="P12" s="11" t="s">
        <v>424</v>
      </c>
      <c r="Q12" s="11" t="s">
        <v>425</v>
      </c>
    </row>
    <row r="13" spans="1:17" ht="28" x14ac:dyDescent="0.2">
      <c r="A13" s="11" t="s">
        <v>450</v>
      </c>
      <c r="B13" s="11" t="s">
        <v>451</v>
      </c>
      <c r="C13" s="11" t="s">
        <v>377</v>
      </c>
      <c r="D13" s="11" t="s">
        <v>378</v>
      </c>
      <c r="E13" s="20">
        <v>0</v>
      </c>
      <c r="F13" s="20">
        <v>0.6</v>
      </c>
      <c r="G13" s="20">
        <v>1</v>
      </c>
      <c r="H13" s="11" t="s">
        <v>72</v>
      </c>
      <c r="I13" s="11" t="s">
        <v>72</v>
      </c>
      <c r="J13" s="11" t="s">
        <v>421</v>
      </c>
      <c r="K13" s="11" t="s">
        <v>57</v>
      </c>
      <c r="L13" s="11" t="s">
        <v>422</v>
      </c>
      <c r="M13" s="11" t="s">
        <v>63</v>
      </c>
      <c r="N13" s="11" t="s">
        <v>423</v>
      </c>
      <c r="O13" s="11" t="s">
        <v>77</v>
      </c>
      <c r="P13" s="11" t="s">
        <v>424</v>
      </c>
      <c r="Q13" s="11" t="s">
        <v>425</v>
      </c>
    </row>
    <row r="14" spans="1:17" ht="28" x14ac:dyDescent="0.2">
      <c r="A14" s="11" t="s">
        <v>452</v>
      </c>
      <c r="B14" s="11" t="s">
        <v>453</v>
      </c>
      <c r="C14" s="11" t="s">
        <v>327</v>
      </c>
      <c r="D14" s="11" t="s">
        <v>328</v>
      </c>
      <c r="E14" s="20">
        <v>0.2</v>
      </c>
      <c r="F14" s="20">
        <v>0.4</v>
      </c>
      <c r="G14" s="20">
        <v>0.9</v>
      </c>
      <c r="H14" s="11" t="s">
        <v>72</v>
      </c>
      <c r="I14" s="11" t="s">
        <v>72</v>
      </c>
      <c r="J14" s="11" t="s">
        <v>421</v>
      </c>
      <c r="K14" s="11" t="s">
        <v>57</v>
      </c>
      <c r="L14" s="11" t="s">
        <v>422</v>
      </c>
      <c r="M14" s="11" t="s">
        <v>63</v>
      </c>
      <c r="N14" s="11" t="s">
        <v>423</v>
      </c>
      <c r="O14" s="11" t="s">
        <v>77</v>
      </c>
      <c r="P14" s="11" t="s">
        <v>424</v>
      </c>
      <c r="Q14" s="11" t="s">
        <v>425</v>
      </c>
    </row>
    <row r="15" spans="1:17" ht="28" x14ac:dyDescent="0.2">
      <c r="A15" s="11" t="s">
        <v>454</v>
      </c>
      <c r="B15" s="11" t="s">
        <v>455</v>
      </c>
      <c r="C15" s="11" t="s">
        <v>327</v>
      </c>
      <c r="D15" s="11" t="s">
        <v>328</v>
      </c>
      <c r="E15" s="20">
        <v>0</v>
      </c>
      <c r="F15" s="20">
        <v>0.3</v>
      </c>
      <c r="G15" s="20">
        <v>1</v>
      </c>
      <c r="H15" s="11" t="s">
        <v>72</v>
      </c>
      <c r="I15" s="11" t="s">
        <v>72</v>
      </c>
      <c r="J15" s="11" t="s">
        <v>421</v>
      </c>
      <c r="K15" s="11" t="s">
        <v>57</v>
      </c>
      <c r="L15" s="11" t="s">
        <v>422</v>
      </c>
      <c r="M15" s="11" t="s">
        <v>63</v>
      </c>
      <c r="N15" s="11" t="s">
        <v>423</v>
      </c>
      <c r="O15" s="11" t="s">
        <v>77</v>
      </c>
      <c r="P15" s="11" t="s">
        <v>424</v>
      </c>
      <c r="Q15" s="11" t="s">
        <v>425</v>
      </c>
    </row>
  </sheetData>
  <dataValidations count="2">
    <dataValidation type="list" allowBlank="1" sqref="J2:J15" xr:uid="{00000000-0002-0000-0F00-000000000000}">
      <formula1>"الأعلى_أفضل,الأقل_أفضل"</formula1>
    </dataValidation>
    <dataValidation type="list" allowBlank="1" sqref="O2:O15" xr:uid="{00000000-0002-0000-0F00-000001000000}">
      <formula1>"معتمد,أولي,يحتاج مراجعة,غير محدد"</formula1>
    </dataValidation>
  </dataValidations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D53"/>
  <sheetViews>
    <sheetView showGridLines="0" rightToLeft="1" tabSelected="1" workbookViewId="0"/>
  </sheetViews>
  <sheetFormatPr baseColWidth="10" defaultColWidth="8.83203125" defaultRowHeight="15" x14ac:dyDescent="0.2"/>
  <cols>
    <col min="1" max="1" width="3" customWidth="1"/>
    <col min="2" max="4" width="30" customWidth="1"/>
  </cols>
  <sheetData>
    <row r="1" spans="2:4" ht="17" x14ac:dyDescent="0.2">
      <c r="B1" s="1" t="s">
        <v>456</v>
      </c>
    </row>
    <row r="2" spans="2:4" x14ac:dyDescent="0.2">
      <c r="B2" s="9" t="s">
        <v>317</v>
      </c>
      <c r="C2" s="9" t="s">
        <v>457</v>
      </c>
      <c r="D2" s="9" t="s">
        <v>458</v>
      </c>
    </row>
    <row r="3" spans="2:4" x14ac:dyDescent="0.2">
      <c r="B3" s="11" t="s">
        <v>327</v>
      </c>
      <c r="C3" s="11" t="s">
        <v>328</v>
      </c>
      <c r="D3" s="11" t="s">
        <v>459</v>
      </c>
    </row>
    <row r="4" spans="2:4" x14ac:dyDescent="0.2">
      <c r="B4" s="11" t="s">
        <v>352</v>
      </c>
      <c r="C4" s="11" t="s">
        <v>353</v>
      </c>
      <c r="D4" s="11" t="s">
        <v>460</v>
      </c>
    </row>
    <row r="5" spans="2:4" x14ac:dyDescent="0.2">
      <c r="B5" s="11" t="s">
        <v>366</v>
      </c>
      <c r="C5" s="11" t="s">
        <v>367</v>
      </c>
      <c r="D5" s="11" t="s">
        <v>461</v>
      </c>
    </row>
    <row r="6" spans="2:4" x14ac:dyDescent="0.2">
      <c r="B6" s="11" t="s">
        <v>377</v>
      </c>
      <c r="C6" s="11" t="s">
        <v>378</v>
      </c>
      <c r="D6" s="11" t="s">
        <v>462</v>
      </c>
    </row>
    <row r="8" spans="2:4" ht="17" x14ac:dyDescent="0.2">
      <c r="B8" s="1" t="s">
        <v>463</v>
      </c>
    </row>
    <row r="9" spans="2:4" x14ac:dyDescent="0.2">
      <c r="B9" s="9" t="s">
        <v>124</v>
      </c>
      <c r="C9" s="9" t="s">
        <v>457</v>
      </c>
    </row>
    <row r="10" spans="2:4" x14ac:dyDescent="0.2">
      <c r="B10" s="11" t="s">
        <v>129</v>
      </c>
      <c r="C10" s="11" t="s">
        <v>130</v>
      </c>
    </row>
    <row r="11" spans="2:4" x14ac:dyDescent="0.2">
      <c r="B11" s="11" t="s">
        <v>134</v>
      </c>
      <c r="C11" s="11" t="s">
        <v>135</v>
      </c>
    </row>
    <row r="12" spans="2:4" x14ac:dyDescent="0.2">
      <c r="B12" s="11" t="s">
        <v>136</v>
      </c>
      <c r="C12" s="11" t="s">
        <v>137</v>
      </c>
    </row>
    <row r="13" spans="2:4" x14ac:dyDescent="0.2">
      <c r="B13" s="11" t="s">
        <v>138</v>
      </c>
      <c r="C13" s="11" t="s">
        <v>139</v>
      </c>
    </row>
    <row r="14" spans="2:4" x14ac:dyDescent="0.2">
      <c r="B14" s="11" t="s">
        <v>140</v>
      </c>
      <c r="C14" s="11" t="s">
        <v>141</v>
      </c>
    </row>
    <row r="15" spans="2:4" x14ac:dyDescent="0.2">
      <c r="B15" s="11" t="s">
        <v>216</v>
      </c>
      <c r="C15" s="11" t="s">
        <v>217</v>
      </c>
    </row>
    <row r="17" spans="2:4" ht="17" x14ac:dyDescent="0.2">
      <c r="B17" s="1" t="s">
        <v>464</v>
      </c>
    </row>
    <row r="18" spans="2:4" x14ac:dyDescent="0.2">
      <c r="B18" s="9" t="s">
        <v>465</v>
      </c>
      <c r="C18" s="9" t="s">
        <v>466</v>
      </c>
    </row>
    <row r="19" spans="2:4" x14ac:dyDescent="0.2">
      <c r="B19" s="11" t="s">
        <v>467</v>
      </c>
      <c r="C19" s="11" t="s">
        <v>329</v>
      </c>
    </row>
    <row r="20" spans="2:4" x14ac:dyDescent="0.2">
      <c r="B20" s="11" t="s">
        <v>468</v>
      </c>
      <c r="C20" s="11" t="s">
        <v>342</v>
      </c>
    </row>
    <row r="21" spans="2:4" x14ac:dyDescent="0.2">
      <c r="B21" s="11" t="s">
        <v>469</v>
      </c>
      <c r="C21" s="11" t="s">
        <v>334</v>
      </c>
    </row>
    <row r="22" spans="2:4" x14ac:dyDescent="0.2">
      <c r="B22" s="11" t="s">
        <v>470</v>
      </c>
      <c r="C22" s="11" t="s">
        <v>471</v>
      </c>
    </row>
    <row r="24" spans="2:4" ht="17" x14ac:dyDescent="0.2">
      <c r="B24" s="1" t="s">
        <v>472</v>
      </c>
    </row>
    <row r="25" spans="2:4" x14ac:dyDescent="0.2">
      <c r="B25" s="9" t="s">
        <v>220</v>
      </c>
      <c r="C25" s="9" t="s">
        <v>457</v>
      </c>
      <c r="D25" s="9" t="s">
        <v>223</v>
      </c>
    </row>
    <row r="26" spans="2:4" x14ac:dyDescent="0.2">
      <c r="B26" s="11" t="s">
        <v>224</v>
      </c>
      <c r="C26" s="11" t="s">
        <v>225</v>
      </c>
      <c r="D26" s="11" t="s">
        <v>227</v>
      </c>
    </row>
    <row r="27" spans="2:4" x14ac:dyDescent="0.2">
      <c r="B27" s="11" t="s">
        <v>229</v>
      </c>
      <c r="C27" s="11" t="s">
        <v>230</v>
      </c>
      <c r="D27" s="11" t="s">
        <v>231</v>
      </c>
    </row>
    <row r="28" spans="2:4" x14ac:dyDescent="0.2">
      <c r="B28" s="11" t="s">
        <v>232</v>
      </c>
      <c r="C28" s="11" t="s">
        <v>233</v>
      </c>
      <c r="D28" s="11" t="s">
        <v>234</v>
      </c>
    </row>
    <row r="30" spans="2:4" ht="17" x14ac:dyDescent="0.2">
      <c r="B30" s="1" t="s">
        <v>473</v>
      </c>
    </row>
    <row r="31" spans="2:4" x14ac:dyDescent="0.2">
      <c r="B31" s="9" t="s">
        <v>474</v>
      </c>
      <c r="C31" s="9" t="s">
        <v>457</v>
      </c>
    </row>
    <row r="32" spans="2:4" x14ac:dyDescent="0.2">
      <c r="B32" s="11" t="s">
        <v>475</v>
      </c>
      <c r="C32" s="11" t="s">
        <v>421</v>
      </c>
    </row>
    <row r="33" spans="2:4" x14ac:dyDescent="0.2">
      <c r="B33" s="11" t="s">
        <v>476</v>
      </c>
      <c r="C33" s="11" t="s">
        <v>477</v>
      </c>
    </row>
    <row r="35" spans="2:4" ht="17" x14ac:dyDescent="0.2">
      <c r="B35" s="1" t="s">
        <v>478</v>
      </c>
    </row>
    <row r="36" spans="2:4" x14ac:dyDescent="0.2">
      <c r="B36" s="9" t="s">
        <v>479</v>
      </c>
      <c r="C36" s="9" t="s">
        <v>457</v>
      </c>
    </row>
    <row r="37" spans="2:4" x14ac:dyDescent="0.2">
      <c r="B37" s="11" t="s">
        <v>480</v>
      </c>
      <c r="C37" s="11" t="s">
        <v>96</v>
      </c>
    </row>
    <row r="38" spans="2:4" x14ac:dyDescent="0.2">
      <c r="B38" s="11" t="s">
        <v>481</v>
      </c>
      <c r="C38" s="11" t="s">
        <v>77</v>
      </c>
    </row>
    <row r="39" spans="2:4" x14ac:dyDescent="0.2">
      <c r="B39" s="11" t="s">
        <v>482</v>
      </c>
      <c r="C39" s="11" t="s">
        <v>53</v>
      </c>
    </row>
    <row r="40" spans="2:4" x14ac:dyDescent="0.2">
      <c r="B40" s="11" t="s">
        <v>483</v>
      </c>
      <c r="C40" s="11" t="s">
        <v>64</v>
      </c>
    </row>
    <row r="42" spans="2:4" ht="17" x14ac:dyDescent="0.2">
      <c r="B42" s="1" t="s">
        <v>484</v>
      </c>
    </row>
    <row r="43" spans="2:4" x14ac:dyDescent="0.2">
      <c r="B43" s="9" t="s">
        <v>485</v>
      </c>
      <c r="C43" s="9" t="s">
        <v>457</v>
      </c>
      <c r="D43" s="9" t="s">
        <v>486</v>
      </c>
    </row>
    <row r="44" spans="2:4" x14ac:dyDescent="0.2">
      <c r="B44" s="11" t="s">
        <v>487</v>
      </c>
      <c r="C44" s="11" t="s">
        <v>76</v>
      </c>
      <c r="D44" s="11" t="s">
        <v>488</v>
      </c>
    </row>
    <row r="45" spans="2:4" x14ac:dyDescent="0.2">
      <c r="B45" s="11" t="s">
        <v>489</v>
      </c>
      <c r="C45" s="11" t="s">
        <v>63</v>
      </c>
      <c r="D45" s="11" t="s">
        <v>490</v>
      </c>
    </row>
    <row r="47" spans="2:4" ht="17" x14ac:dyDescent="0.2">
      <c r="B47" s="1" t="s">
        <v>491</v>
      </c>
    </row>
    <row r="48" spans="2:4" x14ac:dyDescent="0.2">
      <c r="B48" s="9" t="s">
        <v>492</v>
      </c>
      <c r="C48" s="9" t="s">
        <v>457</v>
      </c>
    </row>
    <row r="49" spans="2:3" x14ac:dyDescent="0.2">
      <c r="B49" s="11" t="s">
        <v>493</v>
      </c>
      <c r="C49" s="11" t="s">
        <v>96</v>
      </c>
    </row>
    <row r="50" spans="2:3" x14ac:dyDescent="0.2">
      <c r="B50" s="11" t="s">
        <v>494</v>
      </c>
      <c r="C50" s="11" t="s">
        <v>53</v>
      </c>
    </row>
    <row r="51" spans="2:3" x14ac:dyDescent="0.2">
      <c r="B51" s="11" t="s">
        <v>495</v>
      </c>
      <c r="C51" s="11" t="s">
        <v>422</v>
      </c>
    </row>
    <row r="52" spans="2:3" x14ac:dyDescent="0.2">
      <c r="B52" s="11" t="s">
        <v>496</v>
      </c>
      <c r="C52" s="11" t="s">
        <v>274</v>
      </c>
    </row>
    <row r="53" spans="2:3" x14ac:dyDescent="0.2">
      <c r="B53" s="11" t="s">
        <v>497</v>
      </c>
      <c r="C53" s="11" t="s">
        <v>247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5"/>
  <sheetViews>
    <sheetView rightToLeft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6" width="13" customWidth="1"/>
    <col min="7" max="7" width="24" customWidth="1"/>
    <col min="8" max="8" width="20" customWidth="1"/>
    <col min="9" max="9" width="12" customWidth="1"/>
    <col min="10" max="10" width="24" customWidth="1"/>
    <col min="11" max="11" width="34" customWidth="1"/>
  </cols>
  <sheetData>
    <row r="1" spans="1:11" x14ac:dyDescent="0.2">
      <c r="A1" s="9" t="s">
        <v>174</v>
      </c>
      <c r="B1" s="9" t="s">
        <v>175</v>
      </c>
      <c r="C1" s="9" t="s">
        <v>176</v>
      </c>
      <c r="D1" s="9" t="s">
        <v>498</v>
      </c>
      <c r="E1" s="9" t="s">
        <v>499</v>
      </c>
      <c r="F1" s="9" t="s">
        <v>42</v>
      </c>
      <c r="G1" s="10" t="s">
        <v>43</v>
      </c>
      <c r="H1" s="10" t="s">
        <v>44</v>
      </c>
      <c r="I1" s="10" t="s">
        <v>45</v>
      </c>
      <c r="J1" s="10" t="s">
        <v>46</v>
      </c>
      <c r="K1" s="9" t="s">
        <v>47</v>
      </c>
    </row>
    <row r="2" spans="1:11" x14ac:dyDescent="0.2">
      <c r="A2" s="11" t="s">
        <v>186</v>
      </c>
      <c r="B2" s="11" t="s">
        <v>187</v>
      </c>
      <c r="C2" s="18">
        <v>45901</v>
      </c>
      <c r="D2" s="13">
        <v>1548</v>
      </c>
      <c r="E2" s="13">
        <v>292</v>
      </c>
      <c r="F2" s="11" t="s">
        <v>53</v>
      </c>
      <c r="G2" s="11" t="s">
        <v>63</v>
      </c>
      <c r="H2" s="11"/>
      <c r="I2" s="11" t="s">
        <v>64</v>
      </c>
      <c r="J2" s="11"/>
      <c r="K2" s="11"/>
    </row>
    <row r="3" spans="1:11" x14ac:dyDescent="0.2">
      <c r="A3" s="11" t="s">
        <v>188</v>
      </c>
      <c r="B3" s="11" t="s">
        <v>189</v>
      </c>
      <c r="C3" s="18">
        <v>45931</v>
      </c>
      <c r="D3" s="13">
        <v>1504</v>
      </c>
      <c r="E3" s="13">
        <v>288</v>
      </c>
      <c r="F3" s="11" t="s">
        <v>53</v>
      </c>
      <c r="G3" s="11"/>
      <c r="H3" s="11"/>
      <c r="I3" s="11"/>
      <c r="J3" s="11"/>
      <c r="K3" s="11"/>
    </row>
    <row r="4" spans="1:11" x14ac:dyDescent="0.2">
      <c r="A4" s="11" t="s">
        <v>190</v>
      </c>
      <c r="B4" s="11" t="s">
        <v>191</v>
      </c>
      <c r="C4" s="18">
        <v>45962</v>
      </c>
      <c r="D4" s="13">
        <v>1601</v>
      </c>
      <c r="E4" s="13">
        <v>293</v>
      </c>
      <c r="F4" s="11" t="s">
        <v>53</v>
      </c>
      <c r="G4" s="11"/>
      <c r="H4" s="11"/>
      <c r="I4" s="11"/>
      <c r="J4" s="11"/>
      <c r="K4" s="11"/>
    </row>
    <row r="5" spans="1:11" x14ac:dyDescent="0.2">
      <c r="A5" s="11" t="s">
        <v>192</v>
      </c>
      <c r="B5" s="11" t="s">
        <v>193</v>
      </c>
      <c r="C5" s="18">
        <v>45992</v>
      </c>
      <c r="D5" s="13">
        <v>1580</v>
      </c>
      <c r="E5" s="13">
        <v>279</v>
      </c>
      <c r="F5" s="11" t="s">
        <v>53</v>
      </c>
      <c r="G5" s="11"/>
      <c r="H5" s="11"/>
      <c r="I5" s="11"/>
      <c r="J5" s="11"/>
      <c r="K5" s="11"/>
    </row>
    <row r="6" spans="1:11" x14ac:dyDescent="0.2">
      <c r="A6" s="11" t="s">
        <v>194</v>
      </c>
      <c r="B6" s="11" t="s">
        <v>195</v>
      </c>
      <c r="C6" s="18">
        <v>46023</v>
      </c>
      <c r="D6" s="13">
        <v>1609</v>
      </c>
      <c r="E6" s="13">
        <v>292</v>
      </c>
      <c r="F6" s="11" t="s">
        <v>53</v>
      </c>
      <c r="G6" s="11"/>
      <c r="H6" s="11"/>
      <c r="I6" s="11"/>
      <c r="J6" s="11"/>
      <c r="K6" s="11"/>
    </row>
    <row r="7" spans="1:11" x14ac:dyDescent="0.2">
      <c r="A7" s="11" t="s">
        <v>196</v>
      </c>
      <c r="B7" s="11" t="s">
        <v>197</v>
      </c>
      <c r="C7" s="18">
        <v>46054</v>
      </c>
      <c r="D7" s="13">
        <v>1654</v>
      </c>
      <c r="E7" s="13">
        <v>304</v>
      </c>
      <c r="F7" s="11" t="s">
        <v>53</v>
      </c>
      <c r="G7" s="11"/>
      <c r="H7" s="11"/>
      <c r="I7" s="11"/>
      <c r="J7" s="11"/>
      <c r="K7" s="11"/>
    </row>
    <row r="8" spans="1:11" x14ac:dyDescent="0.2">
      <c r="A8" s="11" t="s">
        <v>198</v>
      </c>
      <c r="B8" s="11" t="s">
        <v>199</v>
      </c>
      <c r="C8" s="18">
        <v>46082</v>
      </c>
      <c r="D8" s="13">
        <v>1736</v>
      </c>
      <c r="E8" s="13">
        <v>316</v>
      </c>
      <c r="F8" s="11" t="s">
        <v>53</v>
      </c>
      <c r="G8" s="11"/>
      <c r="H8" s="11"/>
      <c r="I8" s="11"/>
      <c r="J8" s="11"/>
      <c r="K8" s="11"/>
    </row>
    <row r="9" spans="1:11" x14ac:dyDescent="0.2">
      <c r="A9" s="11" t="s">
        <v>200</v>
      </c>
      <c r="B9" s="11" t="s">
        <v>201</v>
      </c>
      <c r="C9" s="18">
        <v>46113</v>
      </c>
      <c r="D9" s="13">
        <v>1755</v>
      </c>
      <c r="E9" s="13">
        <v>309</v>
      </c>
      <c r="F9" s="11" t="s">
        <v>53</v>
      </c>
      <c r="G9" s="11"/>
      <c r="H9" s="11"/>
      <c r="I9" s="11"/>
      <c r="J9" s="11"/>
      <c r="K9" s="11"/>
    </row>
    <row r="10" spans="1:11" x14ac:dyDescent="0.2">
      <c r="A10" s="11" t="s">
        <v>202</v>
      </c>
      <c r="B10" s="11" t="s">
        <v>203</v>
      </c>
      <c r="C10" s="18">
        <v>46143</v>
      </c>
      <c r="D10" s="13">
        <v>1800</v>
      </c>
      <c r="E10" s="13">
        <v>310</v>
      </c>
      <c r="F10" s="11" t="s">
        <v>53</v>
      </c>
      <c r="G10" s="11"/>
      <c r="H10" s="11"/>
      <c r="I10" s="11"/>
      <c r="J10" s="11"/>
      <c r="K10" s="11"/>
    </row>
    <row r="11" spans="1:11" x14ac:dyDescent="0.2">
      <c r="A11" s="11" t="s">
        <v>204</v>
      </c>
      <c r="B11" s="11" t="s">
        <v>205</v>
      </c>
      <c r="C11" s="18">
        <v>46174</v>
      </c>
      <c r="D11" s="13">
        <v>1747</v>
      </c>
      <c r="E11" s="13">
        <v>300</v>
      </c>
      <c r="F11" s="11" t="s">
        <v>53</v>
      </c>
      <c r="G11" s="11"/>
      <c r="H11" s="11"/>
      <c r="I11" s="11"/>
      <c r="J11" s="11"/>
      <c r="K11" s="11"/>
    </row>
    <row r="12" spans="1:11" x14ac:dyDescent="0.2">
      <c r="A12" s="11" t="s">
        <v>206</v>
      </c>
      <c r="B12" s="11" t="s">
        <v>207</v>
      </c>
      <c r="C12" s="18">
        <v>46204</v>
      </c>
      <c r="D12" s="13">
        <v>1558</v>
      </c>
      <c r="E12" s="13">
        <v>317</v>
      </c>
      <c r="F12" s="11" t="s">
        <v>53</v>
      </c>
      <c r="G12" s="11"/>
      <c r="H12" s="11"/>
      <c r="I12" s="11"/>
      <c r="J12" s="11"/>
      <c r="K12" s="11"/>
    </row>
    <row r="13" spans="1:11" x14ac:dyDescent="0.2">
      <c r="A13" s="11" t="s">
        <v>208</v>
      </c>
      <c r="B13" s="11" t="s">
        <v>57</v>
      </c>
      <c r="C13" s="18">
        <v>46235</v>
      </c>
      <c r="D13" s="13">
        <v>1559</v>
      </c>
      <c r="E13" s="13">
        <v>317</v>
      </c>
      <c r="F13" s="11" t="s">
        <v>53</v>
      </c>
      <c r="G13" s="11"/>
      <c r="H13" s="11"/>
      <c r="I13" s="11"/>
      <c r="J13" s="11"/>
      <c r="K13" s="11"/>
    </row>
    <row r="15" spans="1:11" x14ac:dyDescent="0.2">
      <c r="A15" s="11"/>
      <c r="B15" s="17" t="s">
        <v>142</v>
      </c>
      <c r="C15" s="11"/>
      <c r="D15" s="14">
        <f>SUM(D2:D13)</f>
        <v>19651</v>
      </c>
      <c r="E15" s="14">
        <f>SUM(E2:E13)</f>
        <v>3617</v>
      </c>
      <c r="F15" s="11"/>
      <c r="G15" s="11"/>
      <c r="H15" s="11"/>
      <c r="I15" s="11"/>
      <c r="J15" s="11"/>
      <c r="K15" s="11" t="s">
        <v>500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1"/>
  <sheetViews>
    <sheetView rightToLeft="1" workbookViewId="0">
      <pane ySplit="1" topLeftCell="A2" activePane="bottomLeft" state="frozen"/>
      <selection pane="bottomLeft" activeCell="D2" sqref="D2"/>
    </sheetView>
  </sheetViews>
  <sheetFormatPr baseColWidth="10" defaultColWidth="8.83203125" defaultRowHeight="15" x14ac:dyDescent="0.2"/>
  <cols>
    <col min="1" max="1" width="22" customWidth="1"/>
    <col min="2" max="2" width="30" customWidth="1"/>
    <col min="3" max="3" width="15" customWidth="1"/>
    <col min="4" max="5" width="26" customWidth="1"/>
    <col min="6" max="6" width="22" customWidth="1"/>
    <col min="7" max="7" width="13" customWidth="1"/>
    <col min="8" max="8" width="46" customWidth="1"/>
  </cols>
  <sheetData>
    <row r="1" spans="1:8" x14ac:dyDescent="0.2">
      <c r="A1" s="9" t="s">
        <v>501</v>
      </c>
      <c r="B1" s="9" t="s">
        <v>502</v>
      </c>
      <c r="C1" s="9" t="s">
        <v>503</v>
      </c>
      <c r="D1" s="9" t="s">
        <v>504</v>
      </c>
      <c r="E1" s="10" t="s">
        <v>43</v>
      </c>
      <c r="F1" s="10" t="s">
        <v>44</v>
      </c>
      <c r="G1" s="10" t="s">
        <v>45</v>
      </c>
      <c r="H1" s="10" t="s">
        <v>46</v>
      </c>
    </row>
    <row r="2" spans="1:8" ht="28" x14ac:dyDescent="0.2">
      <c r="A2" s="11" t="s">
        <v>505</v>
      </c>
      <c r="B2" s="11" t="s">
        <v>506</v>
      </c>
      <c r="C2" s="11" t="s">
        <v>507</v>
      </c>
      <c r="D2" s="11" t="s">
        <v>508</v>
      </c>
      <c r="E2" s="23" t="s">
        <v>76</v>
      </c>
      <c r="F2" s="11"/>
      <c r="G2" s="11" t="s">
        <v>77</v>
      </c>
      <c r="H2" s="11" t="s">
        <v>509</v>
      </c>
    </row>
    <row r="3" spans="1:8" ht="28" x14ac:dyDescent="0.2">
      <c r="A3" s="11" t="s">
        <v>510</v>
      </c>
      <c r="B3" s="11" t="s">
        <v>511</v>
      </c>
      <c r="C3" s="11" t="s">
        <v>507</v>
      </c>
      <c r="D3" s="11" t="s">
        <v>512</v>
      </c>
      <c r="E3" s="19" t="s">
        <v>63</v>
      </c>
      <c r="F3" s="11"/>
      <c r="G3" s="11" t="s">
        <v>64</v>
      </c>
      <c r="H3" s="11" t="s">
        <v>513</v>
      </c>
    </row>
    <row r="4" spans="1:8" ht="28" x14ac:dyDescent="0.2">
      <c r="A4" s="11" t="s">
        <v>514</v>
      </c>
      <c r="B4" s="11" t="s">
        <v>515</v>
      </c>
      <c r="C4" s="11" t="s">
        <v>516</v>
      </c>
      <c r="D4" s="11" t="s">
        <v>517</v>
      </c>
      <c r="E4" s="19" t="s">
        <v>63</v>
      </c>
      <c r="F4" s="11"/>
      <c r="G4" s="11" t="s">
        <v>64</v>
      </c>
      <c r="H4" s="11" t="s">
        <v>518</v>
      </c>
    </row>
    <row r="5" spans="1:8" x14ac:dyDescent="0.2">
      <c r="A5" s="11" t="s">
        <v>519</v>
      </c>
      <c r="B5" s="11" t="s">
        <v>520</v>
      </c>
      <c r="C5" s="11" t="s">
        <v>507</v>
      </c>
      <c r="D5" s="11" t="s">
        <v>521</v>
      </c>
      <c r="E5" s="19" t="s">
        <v>63</v>
      </c>
      <c r="F5" s="11"/>
      <c r="G5" s="11" t="s">
        <v>64</v>
      </c>
      <c r="H5" s="11" t="s">
        <v>228</v>
      </c>
    </row>
    <row r="6" spans="1:8" ht="28" x14ac:dyDescent="0.2">
      <c r="A6" s="11" t="s">
        <v>522</v>
      </c>
      <c r="B6" s="11" t="s">
        <v>523</v>
      </c>
      <c r="C6" s="11" t="s">
        <v>524</v>
      </c>
      <c r="D6" s="11" t="s">
        <v>525</v>
      </c>
      <c r="E6" s="19" t="s">
        <v>63</v>
      </c>
      <c r="F6" s="11"/>
      <c r="G6" s="11" t="s">
        <v>64</v>
      </c>
      <c r="H6" s="11"/>
    </row>
    <row r="7" spans="1:8" x14ac:dyDescent="0.2">
      <c r="A7" s="11" t="s">
        <v>526</v>
      </c>
      <c r="B7" s="11" t="s">
        <v>527</v>
      </c>
      <c r="C7" s="11" t="s">
        <v>528</v>
      </c>
      <c r="D7" s="11" t="s">
        <v>529</v>
      </c>
      <c r="E7" s="19" t="s">
        <v>63</v>
      </c>
      <c r="F7" s="11"/>
      <c r="G7" s="11" t="s">
        <v>64</v>
      </c>
      <c r="H7" s="11"/>
    </row>
    <row r="8" spans="1:8" x14ac:dyDescent="0.2">
      <c r="A8" s="11" t="s">
        <v>530</v>
      </c>
      <c r="B8" s="11" t="s">
        <v>531</v>
      </c>
      <c r="C8" s="11" t="s">
        <v>532</v>
      </c>
      <c r="D8" s="11" t="s">
        <v>533</v>
      </c>
      <c r="E8" s="19" t="s">
        <v>63</v>
      </c>
      <c r="F8" s="11"/>
      <c r="G8" s="11" t="s">
        <v>64</v>
      </c>
      <c r="H8" s="11" t="s">
        <v>534</v>
      </c>
    </row>
    <row r="9" spans="1:8" x14ac:dyDescent="0.2">
      <c r="A9" s="11" t="s">
        <v>535</v>
      </c>
      <c r="B9" s="11" t="s">
        <v>536</v>
      </c>
      <c r="C9" s="11" t="s">
        <v>537</v>
      </c>
      <c r="D9" s="11" t="s">
        <v>538</v>
      </c>
      <c r="E9" s="19" t="s">
        <v>63</v>
      </c>
      <c r="F9" s="11"/>
      <c r="G9" s="11" t="s">
        <v>64</v>
      </c>
      <c r="H9" s="11"/>
    </row>
    <row r="10" spans="1:8" x14ac:dyDescent="0.2">
      <c r="A10" s="11" t="s">
        <v>539</v>
      </c>
      <c r="B10" s="11" t="s">
        <v>540</v>
      </c>
      <c r="C10" s="11" t="s">
        <v>541</v>
      </c>
      <c r="D10" s="11" t="s">
        <v>542</v>
      </c>
      <c r="E10" s="19" t="s">
        <v>63</v>
      </c>
      <c r="F10" s="11" t="s">
        <v>423</v>
      </c>
      <c r="G10" s="11" t="s">
        <v>77</v>
      </c>
      <c r="H10" s="11" t="s">
        <v>543</v>
      </c>
    </row>
    <row r="11" spans="1:8" x14ac:dyDescent="0.2">
      <c r="A11" s="11" t="s">
        <v>544</v>
      </c>
      <c r="B11" s="11" t="s">
        <v>545</v>
      </c>
      <c r="C11" s="11" t="s">
        <v>541</v>
      </c>
      <c r="D11" s="11" t="s">
        <v>546</v>
      </c>
      <c r="E11" s="19" t="s">
        <v>63</v>
      </c>
      <c r="F11" s="11"/>
      <c r="G11" s="11" t="s">
        <v>64</v>
      </c>
      <c r="H11" s="11" t="s">
        <v>547</v>
      </c>
    </row>
  </sheetData>
  <dataValidations count="1">
    <dataValidation type="list" allowBlank="1" sqref="G2:G11" xr:uid="{00000000-0002-0000-1200-000000000000}">
      <formula1>"معتمد,أولي,يحتاج مراجعة,غير محدد"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01_تعليمات</vt:lpstr>
      <vt:lpstr>02_البيانات_الرئيسية</vt:lpstr>
      <vt:lpstr>03_العرض_والطلب</vt:lpstr>
      <vt:lpstr>04_العرض_والطلب_حسب_القطاع</vt:lpstr>
      <vt:lpstr>05_الطلب_حسب_النشاط</vt:lpstr>
      <vt:lpstr>06_التراخيص</vt:lpstr>
      <vt:lpstr>07_التراخيص_الشهرية</vt:lpstr>
      <vt:lpstr>08_التراخيص_حسب_القطاع</vt:lpstr>
      <vt:lpstr>09_أنواع_المساكن</vt:lpstr>
      <vt:lpstr>10_الرقابة</vt:lpstr>
      <vt:lpstr>11_الرقابة_حسب_القطاع</vt:lpstr>
      <vt:lpstr>12_المخالفات_حسب_النوع</vt:lpstr>
      <vt:lpstr>13_الأحياء</vt:lpstr>
      <vt:lpstr>14_المبادرات</vt:lpstr>
      <vt:lpstr>15_خطة_المبادرات</vt:lpstr>
      <vt:lpstr>16_مؤشرات_الأداء</vt:lpstr>
      <vt:lpstr>17_تعريفات_ومراجع</vt:lpstr>
      <vt:lpstr>18_الرقابة_الشهرية</vt:lpstr>
      <vt:lpstr>19_مصادر_البيانات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Alshehre</cp:lastModifiedBy>
  <dcterms:created xsi:type="dcterms:W3CDTF">2026-08-18T04:50:14Z</dcterms:created>
  <dcterms:modified xsi:type="dcterms:W3CDTF">2026-08-18T05:22:19Z</dcterms:modified>
</cp:coreProperties>
</file>