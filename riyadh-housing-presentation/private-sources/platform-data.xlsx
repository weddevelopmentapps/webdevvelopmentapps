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ialshehre/Desktop/"/>
    </mc:Choice>
  </mc:AlternateContent>
  <xr:revisionPtr revIDLastSave="0" documentId="8_{FB0EB4F9-BFE7-F544-9BD3-9E18ADDEB69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تعليمات" sheetId="1" r:id="rId1"/>
    <sheet name="الطلب" sheetId="2" r:id="rId2"/>
    <sheet name="التراخيص" sheetId="3" r:id="rId3"/>
    <sheet name="الرقابة" sheetId="4" r:id="rId4"/>
    <sheet name="الأحياء" sheetId="5" r:id="rId5"/>
    <sheet name="السيا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C17" i="6"/>
  <c r="C21" i="4"/>
  <c r="C22" i="4" s="1"/>
  <c r="F10" i="4"/>
  <c r="E10" i="4"/>
  <c r="C42" i="6" s="1"/>
  <c r="D10" i="4"/>
  <c r="D42" i="6" s="1"/>
  <c r="C10" i="4"/>
  <c r="E28" i="3"/>
  <c r="E29" i="3" s="1"/>
  <c r="D28" i="3"/>
  <c r="D29" i="3" s="1"/>
  <c r="C28" i="3"/>
  <c r="C29" i="3" s="1"/>
  <c r="E20" i="3"/>
  <c r="D20" i="3"/>
  <c r="C12" i="6" s="1"/>
  <c r="C20" i="3"/>
  <c r="C12" i="2"/>
  <c r="C13" i="2" s="1"/>
</calcChain>
</file>

<file path=xl/sharedStrings.xml><?xml version="1.0" encoding="utf-8"?>
<sst xmlns="http://schemas.openxmlformats.org/spreadsheetml/2006/main" count="180" uniqueCount="128">
  <si>
    <t>نموذج تحديث بيانات منصة السكن الجماعي للأفراد — مدينة الرياض</t>
  </si>
  <si>
    <t>طريقة الاستخدام: عدِّل الأرقام في الخلايا الصفراء فقط، ثم أعد إرفاق الملف لكلود لتحديث المنصة ونشرها.</t>
  </si>
  <si>
    <t>دليل الألوان:</t>
  </si>
  <si>
    <t xml:space="preserve">   ▪ خلية صفراء بنص أزرق = قيمة قابلة للتعديل.</t>
  </si>
  <si>
    <t xml:space="preserve">   ▪ خلية خضراء فاتحة = مجموع/فحص محسوب تلقائياً — لا تعدلها.</t>
  </si>
  <si>
    <t>قواعد الاتساق (تتحقق منها خلايا الفحص في كل ورقة — يجب أن تظهر ✓ قبل إعادة الإرفاق):</t>
  </si>
  <si>
    <t xml:space="preserve">   ▪ مجموع طلب القطاعات = إجمالي الطلب.</t>
  </si>
  <si>
    <t xml:space="preserve">   ▪ الرصيد قبل سبتمبر 2025 + الإضافات الشهرية = مجموع القطاعات (رخص بناء، تشغيلية، أسرّة).</t>
  </si>
  <si>
    <t xml:space="preserve">   ▪ «العرض» في المنصة يُشتق تلقائياً من أسرّة الرخص التشغيلية — لا يُدخل يدوياً.</t>
  </si>
  <si>
    <t xml:space="preserve">   ▪ مجموع أنواع المخالفات = مجموع مخالفات القطاعات، ومجاميع النشاط الشهري تطابق إجماليات الرقابة.</t>
  </si>
  <si>
    <t xml:space="preserve">   ▪ أرقام أحياء كل قطاع يجب ألا تتجاوز إجمالي قطاعها.</t>
  </si>
  <si>
    <t>ملاحظات:</t>
  </si>
  <si>
    <t xml:space="preserve">   ▪ المبادرات ومؤشرات الأداء مصدرها ملف «خطة عمل المشروع V.1.0.0» — عدِّلوا ذلك الملف وأعيدوا إرفاقه لتحديثها.</t>
  </si>
  <si>
    <t xml:space="preserve">   ▪ أسماء الأحياء في ورقة «الأحياء» يجب أن تطابق أسماء الأحياء على الخريطة ليعمل الإبراز الجغرافي.</t>
  </si>
  <si>
    <t xml:space="preserve">   ▪ القيم الحالية للمؤشرات تُسجَّل من داخل المنصة (زر تعديل) وتُزامَن عبر قاعدة البيانات.</t>
  </si>
  <si>
    <t>الطلب على السكن الجماعي للأفراد (سرير)</t>
  </si>
  <si>
    <t>إجمالي الطلب</t>
  </si>
  <si>
    <t>القطاع</t>
  </si>
  <si>
    <t>الطلب</t>
  </si>
  <si>
    <t>قطاع الشمال</t>
  </si>
  <si>
    <t>قطاع الشرق</t>
  </si>
  <si>
    <t>قطاع الوسط</t>
  </si>
  <si>
    <t>قطاع الغرب</t>
  </si>
  <si>
    <t>قطاع الجنوب</t>
  </si>
  <si>
    <t>المجموع (محسوب)</t>
  </si>
  <si>
    <t>فحص الاتساق</t>
  </si>
  <si>
    <t>التراخيص والطاقة الاستيعابية</t>
  </si>
  <si>
    <t>البند</t>
  </si>
  <si>
    <t>رخص البناء</t>
  </si>
  <si>
    <t>الرخص التشغيلية</t>
  </si>
  <si>
    <t>الأسرّة (الطاقة)</t>
  </si>
  <si>
    <t>الرصيد قبل سبتمبر 2025</t>
  </si>
  <si>
    <t>الإضافات الشهرية الصافية</t>
  </si>
  <si>
    <t>سبتمبر 2025</t>
  </si>
  <si>
    <t>أكتوبر 2025</t>
  </si>
  <si>
    <t>نوفمبر 2025</t>
  </si>
  <si>
    <t>ديسمبر 2025</t>
  </si>
  <si>
    <t>يناير 2026</t>
  </si>
  <si>
    <t>فبراير 2026</t>
  </si>
  <si>
    <t>مارس 2026</t>
  </si>
  <si>
    <t>أبريل 2026</t>
  </si>
  <si>
    <t>مايو 2026</t>
  </si>
  <si>
    <t>يونيو 2026</t>
  </si>
  <si>
    <t>يوليو 2026</t>
  </si>
  <si>
    <t>أغسطس 2026</t>
  </si>
  <si>
    <t>الإجمالي الحالي (محسوب = الرصيد + الإضافات)</t>
  </si>
  <si>
    <t>الوضع الراهن حسب القطاع</t>
  </si>
  <si>
    <t>مجموع القطاعات (محسوب)</t>
  </si>
  <si>
    <t>فحص: مجموع القطاعات = الإجمالي الحالي</t>
  </si>
  <si>
    <t>هدف نسبة التغطية الاسترشادي (٪)</t>
  </si>
  <si>
    <t>الرقابة الميدانية (آخر 12 شهراً)</t>
  </si>
  <si>
    <t>المراقبون</t>
  </si>
  <si>
    <t>المخالفات</t>
  </si>
  <si>
    <t>الزيارات</t>
  </si>
  <si>
    <t>قرارات الإغلاق</t>
  </si>
  <si>
    <t>الإجمالي (محسوب)</t>
  </si>
  <si>
    <t>معدل الامتثال في الجولات (٪)</t>
  </si>
  <si>
    <t>المخالفات حسب النوع</t>
  </si>
  <si>
    <t>الاكتظاظ وتجاوز الطاقة الاستيعابية</t>
  </si>
  <si>
    <t>اشتراطات السلامة والحماية من الحريق</t>
  </si>
  <si>
    <t>النظافة والصحة العامة</t>
  </si>
  <si>
    <t>مزاولة النشاط بدون ترخيص</t>
  </si>
  <si>
    <t>مخالفات الكهرباء والسباكة</t>
  </si>
  <si>
    <t>التهوية والعزل غير المطابق</t>
  </si>
  <si>
    <t>مجموع الأنواع (محسوب)</t>
  </si>
  <si>
    <t>فحص: الأنواع = مخالفات القطاعات</t>
  </si>
  <si>
    <t>أبرز الأحياء — عينة مرتبطة بالخريطة (قوائم أعلى 5 تُشتق تلقائياً)</t>
  </si>
  <si>
    <t>الحي (مطابق للخريطة)</t>
  </si>
  <si>
    <t>الأسرّة</t>
  </si>
  <si>
    <t>حي الملقا</t>
  </si>
  <si>
    <t>حي الصحافة</t>
  </si>
  <si>
    <t>حي حطين</t>
  </si>
  <si>
    <t>حي الياسمين</t>
  </si>
  <si>
    <t>حي النسيم الشرقي</t>
  </si>
  <si>
    <t>حي السلي</t>
  </si>
  <si>
    <t>حي النظيم</t>
  </si>
  <si>
    <t>حي النسيم الغربي</t>
  </si>
  <si>
    <t>حي منفوحة</t>
  </si>
  <si>
    <t>حي غبيرة</t>
  </si>
  <si>
    <t>حي الجرادية</t>
  </si>
  <si>
    <t>حي الديرة</t>
  </si>
  <si>
    <t>حي السويدي الغربي</t>
  </si>
  <si>
    <t>حي ظهرة لبن</t>
  </si>
  <si>
    <t>حي العريجاء الغربي</t>
  </si>
  <si>
    <t>حي طويق</t>
  </si>
  <si>
    <t>حي المنصورية</t>
  </si>
  <si>
    <t>حي العزيزية</t>
  </si>
  <si>
    <t>حي الشفا</t>
  </si>
  <si>
    <t>حي بدر</t>
  </si>
  <si>
    <t>قاعدة: مجموع أحياء كل قطاع ≤ إجمالي القطاع في ورقتي التراخيص والرقابة</t>
  </si>
  <si>
    <t>سياق تحليلي إضافي</t>
  </si>
  <si>
    <t>الأسرّة المشغولة (الإشغال)</t>
  </si>
  <si>
    <t>تاريخ العرض (asOf)</t>
  </si>
  <si>
    <t>تاريخ اليوم للاحتساب الزمني (YYYY-MM-DD)</t>
  </si>
  <si>
    <t>2026-08-11</t>
  </si>
  <si>
    <t>الرخص التشغيلية حسب نوع الإيواء</t>
  </si>
  <si>
    <t>مجمع سكني</t>
  </si>
  <si>
    <t>مبنى سكني</t>
  </si>
  <si>
    <t>كبائن متنقلة</t>
  </si>
  <si>
    <t>فحص: مجموع الأنواع = الرخص التشغيلية</t>
  </si>
  <si>
    <t>تركيبة الطلب</t>
  </si>
  <si>
    <t>الياقات الزرقاء</t>
  </si>
  <si>
    <t>الياقات البيضاء</t>
  </si>
  <si>
    <t>فحص: المجموع = إجمالي الطلب</t>
  </si>
  <si>
    <t>الطلب حسب النشاط الاقتصادي</t>
  </si>
  <si>
    <t>التشييد والبناء</t>
  </si>
  <si>
    <t>التجارة والتجزئة</t>
  </si>
  <si>
    <t>الصناعة</t>
  </si>
  <si>
    <t>الخدمات العامة</t>
  </si>
  <si>
    <t>الضيافة والإعاشة</t>
  </si>
  <si>
    <t>قطاعات أخرى</t>
  </si>
  <si>
    <t>النشاط الرقابي الشهري</t>
  </si>
  <si>
    <t>الشهر</t>
  </si>
  <si>
    <t>فحص: المجاميع = إجماليات الرقابة</t>
  </si>
  <si>
    <t>التوقع المستقبلي لعجز الإيواء (سرير) — سبتمبر 2026 حتى يونيو 2027</t>
  </si>
  <si>
    <t>متحفظ</t>
  </si>
  <si>
    <t>أساسي</t>
  </si>
  <si>
    <t>متفائل</t>
  </si>
  <si>
    <t>سبتمبر 2026</t>
  </si>
  <si>
    <t>أكتوبر 2026</t>
  </si>
  <si>
    <t>نوفمبر 2026</t>
  </si>
  <si>
    <t>ديسمبر 2026</t>
  </si>
  <si>
    <t>يناير 2027</t>
  </si>
  <si>
    <t>فبراير 2027</t>
  </si>
  <si>
    <t>مارس 2027</t>
  </si>
  <si>
    <t>أبريل 2027</t>
  </si>
  <si>
    <t>مايو 2027</t>
  </si>
  <si>
    <t>يونيو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</si>
</sst>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5"/>
      <color rgb="FF0E3A2B"/>
      <name val="Arial"/>
      <family val="2"/>
    </font>
    <font>
      <sz val="11"/>
      <name val="Arial"/>
      <family val="2"/>
    </font>
    <font>
      <b/>
      <sz val="14"/>
      <color rgb="FF0E3A2B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1C7C55"/>
      </patternFill>
    </fill>
    <fill>
      <patternFill patternType="solid">
        <fgColor rgb="FFEFF7F2"/>
      </patternFill>
    </fill>
  </fills>
  <borders count="2">
    <border>
      <left/>
      <right/>
      <top/>
      <bottom/>
      <diagonal/>
    </border>
    <border>
      <left style="thin">
        <color rgb="FFC9DED2"/>
      </left>
      <right style="thin">
        <color rgb="FFC9DED2"/>
      </right>
      <top style="thin">
        <color rgb="FFC9DED2"/>
      </top>
      <bottom style="thin">
        <color rgb="FFC9DE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3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4" fillId="4" borderId="1" xfId="0" applyNumberFormat="1" applyFont="1" applyFill="1" applyBorder="1"/>
    <xf numFmtId="0" fontId="4" fillId="4" borderId="1" xfId="0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rightToLeft="1" tabSelected="1" workbookViewId="0"/>
  </sheetViews>
  <sheetFormatPr baseColWidth="10" defaultColWidth="8.83203125" defaultRowHeight="15" x14ac:dyDescent="0.2"/>
  <cols>
    <col min="1" max="1" width="3" customWidth="1"/>
    <col min="2" max="2" width="110" customWidth="1"/>
  </cols>
  <sheetData>
    <row r="2" spans="2:2" ht="19" x14ac:dyDescent="0.2">
      <c r="B2" s="1" t="s">
        <v>0</v>
      </c>
    </row>
    <row r="3" spans="2:2" x14ac:dyDescent="0.2">
      <c r="B3" s="2"/>
    </row>
    <row r="4" spans="2:2" x14ac:dyDescent="0.2">
      <c r="B4" s="2" t="s">
        <v>1</v>
      </c>
    </row>
    <row r="5" spans="2:2" x14ac:dyDescent="0.2">
      <c r="B5" s="2"/>
    </row>
    <row r="6" spans="2:2" x14ac:dyDescent="0.2">
      <c r="B6" s="2" t="s">
        <v>2</v>
      </c>
    </row>
    <row r="7" spans="2:2" x14ac:dyDescent="0.2">
      <c r="B7" s="2" t="s">
        <v>3</v>
      </c>
    </row>
    <row r="8" spans="2:2" x14ac:dyDescent="0.2">
      <c r="B8" s="2" t="s">
        <v>4</v>
      </c>
    </row>
    <row r="9" spans="2:2" x14ac:dyDescent="0.2">
      <c r="B9" s="2"/>
    </row>
    <row r="10" spans="2:2" x14ac:dyDescent="0.2">
      <c r="B10" s="2" t="s">
        <v>5</v>
      </c>
    </row>
    <row r="11" spans="2:2" x14ac:dyDescent="0.2">
      <c r="B11" s="2" t="s">
        <v>6</v>
      </c>
    </row>
    <row r="12" spans="2:2" x14ac:dyDescent="0.2">
      <c r="B12" s="2" t="s">
        <v>7</v>
      </c>
    </row>
    <row r="13" spans="2:2" x14ac:dyDescent="0.2">
      <c r="B13" s="2" t="s">
        <v>8</v>
      </c>
    </row>
    <row r="14" spans="2:2" x14ac:dyDescent="0.2">
      <c r="B14" s="2" t="s">
        <v>9</v>
      </c>
    </row>
    <row r="15" spans="2:2" x14ac:dyDescent="0.2">
      <c r="B15" s="2" t="s">
        <v>10</v>
      </c>
    </row>
    <row r="16" spans="2:2" x14ac:dyDescent="0.2">
      <c r="B16" s="2"/>
    </row>
    <row r="17" spans="2:2" x14ac:dyDescent="0.2">
      <c r="B17" s="2" t="s">
        <v>11</v>
      </c>
    </row>
    <row r="18" spans="2:2" x14ac:dyDescent="0.2">
      <c r="B18" s="2" t="s">
        <v>12</v>
      </c>
    </row>
    <row r="19" spans="2:2" x14ac:dyDescent="0.2">
      <c r="B19" s="2" t="s">
        <v>13</v>
      </c>
    </row>
    <row r="20" spans="2:2" x14ac:dyDescent="0.2">
      <c r="B20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rightToLeft="1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20" customWidth="1"/>
  </cols>
  <sheetData>
    <row r="2" spans="2:3" ht="18" x14ac:dyDescent="0.2">
      <c r="B2" s="3" t="s">
        <v>15</v>
      </c>
    </row>
    <row r="4" spans="2:3" x14ac:dyDescent="0.2">
      <c r="B4" s="4" t="s">
        <v>16</v>
      </c>
      <c r="C4" s="5">
        <v>1420000</v>
      </c>
    </row>
    <row r="6" spans="2:3" x14ac:dyDescent="0.2">
      <c r="B6" s="6" t="s">
        <v>17</v>
      </c>
      <c r="C6" s="6" t="s">
        <v>18</v>
      </c>
    </row>
    <row r="7" spans="2:3" x14ac:dyDescent="0.2">
      <c r="B7" s="7" t="s">
        <v>19</v>
      </c>
      <c r="C7" s="5">
        <v>258000</v>
      </c>
    </row>
    <row r="8" spans="2:3" x14ac:dyDescent="0.2">
      <c r="B8" s="7" t="s">
        <v>20</v>
      </c>
      <c r="C8" s="5">
        <v>331000</v>
      </c>
    </row>
    <row r="9" spans="2:3" x14ac:dyDescent="0.2">
      <c r="B9" s="7" t="s">
        <v>21</v>
      </c>
      <c r="C9" s="5">
        <v>246000</v>
      </c>
    </row>
    <row r="10" spans="2:3" x14ac:dyDescent="0.2">
      <c r="B10" s="7" t="s">
        <v>22</v>
      </c>
      <c r="C10" s="5">
        <v>217000</v>
      </c>
    </row>
    <row r="11" spans="2:3" x14ac:dyDescent="0.2">
      <c r="B11" s="7" t="s">
        <v>23</v>
      </c>
      <c r="C11" s="5">
        <v>368000</v>
      </c>
    </row>
    <row r="12" spans="2:3" x14ac:dyDescent="0.2">
      <c r="B12" s="4" t="s">
        <v>24</v>
      </c>
      <c r="C12" s="8">
        <f>SUM(C7:C11)</f>
        <v>1420000</v>
      </c>
    </row>
    <row r="13" spans="2:3" x14ac:dyDescent="0.2">
      <c r="B13" s="4" t="s">
        <v>25</v>
      </c>
      <c r="C13" s="9" t="str">
        <f>IF(C12=C4,"✓ متسق مع الإجمالي","✗ لا يساوي الإجمالي")</f>
        <v>✓ متسق مع الإجمالي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1"/>
  <sheetViews>
    <sheetView rightToLeft="1" workbookViewId="0"/>
  </sheetViews>
  <sheetFormatPr baseColWidth="10" defaultColWidth="8.83203125" defaultRowHeight="15" x14ac:dyDescent="0.2"/>
  <cols>
    <col min="1" max="1" width="3" customWidth="1"/>
    <col min="2" max="2" width="42" customWidth="1"/>
    <col min="3" max="3" width="15" customWidth="1"/>
    <col min="4" max="5" width="17" customWidth="1"/>
  </cols>
  <sheetData>
    <row r="2" spans="2:5" ht="18" x14ac:dyDescent="0.2">
      <c r="B2" s="3" t="s">
        <v>26</v>
      </c>
    </row>
    <row r="4" spans="2:5" x14ac:dyDescent="0.2">
      <c r="B4" s="6" t="s">
        <v>27</v>
      </c>
      <c r="C4" s="6" t="s">
        <v>28</v>
      </c>
      <c r="D4" s="6" t="s">
        <v>29</v>
      </c>
      <c r="E4" s="6" t="s">
        <v>30</v>
      </c>
    </row>
    <row r="5" spans="2:5" x14ac:dyDescent="0.2">
      <c r="B5" s="4" t="s">
        <v>31</v>
      </c>
      <c r="C5" s="5">
        <v>64</v>
      </c>
      <c r="D5" s="5">
        <v>118</v>
      </c>
      <c r="E5" s="5">
        <v>563900</v>
      </c>
    </row>
    <row r="7" spans="2:5" x14ac:dyDescent="0.2">
      <c r="B7" s="6" t="s">
        <v>32</v>
      </c>
      <c r="C7" s="6"/>
      <c r="D7" s="6"/>
      <c r="E7" s="6"/>
    </row>
    <row r="8" spans="2:5" x14ac:dyDescent="0.2">
      <c r="B8" s="7" t="s">
        <v>33</v>
      </c>
      <c r="C8" s="5">
        <v>3</v>
      </c>
      <c r="D8" s="5">
        <v>1</v>
      </c>
      <c r="E8" s="5">
        <v>3200</v>
      </c>
    </row>
    <row r="9" spans="2:5" x14ac:dyDescent="0.2">
      <c r="B9" s="7" t="s">
        <v>34</v>
      </c>
      <c r="C9" s="5">
        <v>2</v>
      </c>
      <c r="D9" s="5">
        <v>2</v>
      </c>
      <c r="E9" s="5">
        <v>3600</v>
      </c>
    </row>
    <row r="10" spans="2:5" x14ac:dyDescent="0.2">
      <c r="B10" s="7" t="s">
        <v>35</v>
      </c>
      <c r="C10" s="5">
        <v>3</v>
      </c>
      <c r="D10" s="5">
        <v>2</v>
      </c>
      <c r="E10" s="5">
        <v>4100</v>
      </c>
    </row>
    <row r="11" spans="2:5" x14ac:dyDescent="0.2">
      <c r="B11" s="7" t="s">
        <v>36</v>
      </c>
      <c r="C11" s="5">
        <v>3</v>
      </c>
      <c r="D11" s="5">
        <v>2</v>
      </c>
      <c r="E11" s="5">
        <v>3900</v>
      </c>
    </row>
    <row r="12" spans="2:5" x14ac:dyDescent="0.2">
      <c r="B12" s="7" t="s">
        <v>37</v>
      </c>
      <c r="C12" s="5">
        <v>2</v>
      </c>
      <c r="D12" s="5">
        <v>1</v>
      </c>
      <c r="E12" s="5">
        <v>4200</v>
      </c>
    </row>
    <row r="13" spans="2:5" x14ac:dyDescent="0.2">
      <c r="B13" s="7" t="s">
        <v>38</v>
      </c>
      <c r="C13" s="5">
        <v>3</v>
      </c>
      <c r="D13" s="5">
        <v>2</v>
      </c>
      <c r="E13" s="5">
        <v>4400</v>
      </c>
    </row>
    <row r="14" spans="2:5" x14ac:dyDescent="0.2">
      <c r="B14" s="7" t="s">
        <v>39</v>
      </c>
      <c r="C14" s="5">
        <v>3</v>
      </c>
      <c r="D14" s="5">
        <v>2</v>
      </c>
      <c r="E14" s="5">
        <v>4100</v>
      </c>
    </row>
    <row r="15" spans="2:5" x14ac:dyDescent="0.2">
      <c r="B15" s="7" t="s">
        <v>40</v>
      </c>
      <c r="C15" s="5">
        <v>3</v>
      </c>
      <c r="D15" s="5">
        <v>2</v>
      </c>
      <c r="E15" s="5">
        <v>4300</v>
      </c>
    </row>
    <row r="16" spans="2:5" x14ac:dyDescent="0.2">
      <c r="B16" s="7" t="s">
        <v>41</v>
      </c>
      <c r="C16" s="5">
        <v>2</v>
      </c>
      <c r="D16" s="5">
        <v>2</v>
      </c>
      <c r="E16" s="5">
        <v>4200</v>
      </c>
    </row>
    <row r="17" spans="2:5" x14ac:dyDescent="0.2">
      <c r="B17" s="7" t="s">
        <v>42</v>
      </c>
      <c r="C17" s="5">
        <v>3</v>
      </c>
      <c r="D17" s="5">
        <v>2</v>
      </c>
      <c r="E17" s="5">
        <v>4200</v>
      </c>
    </row>
    <row r="18" spans="2:5" x14ac:dyDescent="0.2">
      <c r="B18" s="7" t="s">
        <v>43</v>
      </c>
      <c r="C18" s="5">
        <v>3</v>
      </c>
      <c r="D18" s="5">
        <v>2</v>
      </c>
      <c r="E18" s="5">
        <v>4100</v>
      </c>
    </row>
    <row r="19" spans="2:5" x14ac:dyDescent="0.2">
      <c r="B19" s="7" t="s">
        <v>44</v>
      </c>
      <c r="C19" s="5">
        <v>2</v>
      </c>
      <c r="D19" s="5">
        <v>2</v>
      </c>
      <c r="E19" s="5">
        <v>4200</v>
      </c>
    </row>
    <row r="20" spans="2:5" x14ac:dyDescent="0.2">
      <c r="B20" s="4" t="s">
        <v>45</v>
      </c>
      <c r="C20" s="8">
        <f>C5+SUM(C8:C19)</f>
        <v>96</v>
      </c>
      <c r="D20" s="8">
        <f>D5+SUM(D8:D19)</f>
        <v>140</v>
      </c>
      <c r="E20" s="8">
        <f>E5+SUM(E8:E19)</f>
        <v>612400</v>
      </c>
    </row>
    <row r="22" spans="2:5" x14ac:dyDescent="0.2">
      <c r="B22" s="6" t="s">
        <v>46</v>
      </c>
      <c r="C22" s="6"/>
      <c r="D22" s="6"/>
      <c r="E22" s="6"/>
    </row>
    <row r="23" spans="2:5" x14ac:dyDescent="0.2">
      <c r="B23" s="7" t="s">
        <v>19</v>
      </c>
      <c r="C23" s="5">
        <v>22</v>
      </c>
      <c r="D23" s="5">
        <v>30</v>
      </c>
      <c r="E23" s="5">
        <v>128000</v>
      </c>
    </row>
    <row r="24" spans="2:5" x14ac:dyDescent="0.2">
      <c r="B24" s="7" t="s">
        <v>20</v>
      </c>
      <c r="C24" s="5">
        <v>26</v>
      </c>
      <c r="D24" s="5">
        <v>34</v>
      </c>
      <c r="E24" s="5">
        <v>172400</v>
      </c>
    </row>
    <row r="25" spans="2:5" x14ac:dyDescent="0.2">
      <c r="B25" s="7" t="s">
        <v>21</v>
      </c>
      <c r="C25" s="5">
        <v>12</v>
      </c>
      <c r="D25" s="5">
        <v>26</v>
      </c>
      <c r="E25" s="5">
        <v>96000</v>
      </c>
    </row>
    <row r="26" spans="2:5" x14ac:dyDescent="0.2">
      <c r="B26" s="7" t="s">
        <v>22</v>
      </c>
      <c r="C26" s="5">
        <v>16</v>
      </c>
      <c r="D26" s="5">
        <v>22</v>
      </c>
      <c r="E26" s="5">
        <v>88000</v>
      </c>
    </row>
    <row r="27" spans="2:5" x14ac:dyDescent="0.2">
      <c r="B27" s="7" t="s">
        <v>23</v>
      </c>
      <c r="C27" s="5">
        <v>20</v>
      </c>
      <c r="D27" s="5">
        <v>28</v>
      </c>
      <c r="E27" s="5">
        <v>128000</v>
      </c>
    </row>
    <row r="28" spans="2:5" x14ac:dyDescent="0.2">
      <c r="B28" s="4" t="s">
        <v>47</v>
      </c>
      <c r="C28" s="8">
        <f>SUM(C23:C27)</f>
        <v>96</v>
      </c>
      <c r="D28" s="8">
        <f>SUM(D23:D27)</f>
        <v>140</v>
      </c>
      <c r="E28" s="8">
        <f>SUM(E23:E27)</f>
        <v>612400</v>
      </c>
    </row>
    <row r="29" spans="2:5" x14ac:dyDescent="0.2">
      <c r="B29" s="4" t="s">
        <v>48</v>
      </c>
      <c r="C29" s="9" t="str">
        <f>IF(C28=C20,"✓","✗")</f>
        <v>✓</v>
      </c>
      <c r="D29" s="9" t="str">
        <f>IF(D28=D20,"✓","✗")</f>
        <v>✓</v>
      </c>
      <c r="E29" s="9" t="str">
        <f>IF(E28=E20,"✓","✗")</f>
        <v>✓</v>
      </c>
    </row>
    <row r="31" spans="2:5" x14ac:dyDescent="0.2">
      <c r="B31" s="4" t="s">
        <v>49</v>
      </c>
      <c r="C31" s="10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2"/>
  <sheetViews>
    <sheetView rightToLeft="1" workbookViewId="0"/>
  </sheetViews>
  <sheetFormatPr baseColWidth="10" defaultColWidth="8.83203125" defaultRowHeight="15" x14ac:dyDescent="0.2"/>
  <cols>
    <col min="1" max="1" width="3" customWidth="1"/>
    <col min="2" max="2" width="42" customWidth="1"/>
    <col min="3" max="4" width="14" customWidth="1"/>
    <col min="5" max="5" width="12" customWidth="1"/>
    <col min="6" max="6" width="16" customWidth="1"/>
  </cols>
  <sheetData>
    <row r="2" spans="2:6" ht="18" x14ac:dyDescent="0.2">
      <c r="B2" s="3" t="s">
        <v>50</v>
      </c>
    </row>
    <row r="4" spans="2:6" x14ac:dyDescent="0.2">
      <c r="B4" s="6" t="s">
        <v>17</v>
      </c>
      <c r="C4" s="6" t="s">
        <v>51</v>
      </c>
      <c r="D4" s="6" t="s">
        <v>52</v>
      </c>
      <c r="E4" s="6" t="s">
        <v>53</v>
      </c>
      <c r="F4" s="6" t="s">
        <v>54</v>
      </c>
    </row>
    <row r="5" spans="2:6" x14ac:dyDescent="0.2">
      <c r="B5" s="7" t="s">
        <v>19</v>
      </c>
      <c r="C5" s="5">
        <v>4</v>
      </c>
      <c r="D5" s="5">
        <v>439</v>
      </c>
      <c r="E5" s="5">
        <v>3538</v>
      </c>
      <c r="F5" s="5">
        <v>15</v>
      </c>
    </row>
    <row r="6" spans="2:6" x14ac:dyDescent="0.2">
      <c r="B6" s="7" t="s">
        <v>20</v>
      </c>
      <c r="C6" s="5">
        <v>4</v>
      </c>
      <c r="D6" s="5">
        <v>907</v>
      </c>
      <c r="E6" s="5">
        <v>4716</v>
      </c>
      <c r="F6" s="5">
        <v>27</v>
      </c>
    </row>
    <row r="7" spans="2:6" x14ac:dyDescent="0.2">
      <c r="B7" s="7" t="s">
        <v>21</v>
      </c>
      <c r="C7" s="5">
        <v>4</v>
      </c>
      <c r="D7" s="5">
        <v>548</v>
      </c>
      <c r="E7" s="5">
        <v>3341</v>
      </c>
      <c r="F7" s="5">
        <v>19</v>
      </c>
    </row>
    <row r="8" spans="2:6" x14ac:dyDescent="0.2">
      <c r="B8" s="7" t="s">
        <v>22</v>
      </c>
      <c r="C8" s="5">
        <v>3</v>
      </c>
      <c r="D8" s="5">
        <v>356</v>
      </c>
      <c r="E8" s="5">
        <v>2553</v>
      </c>
      <c r="F8" s="5">
        <v>12</v>
      </c>
    </row>
    <row r="9" spans="2:6" x14ac:dyDescent="0.2">
      <c r="B9" s="7" t="s">
        <v>23</v>
      </c>
      <c r="C9" s="5">
        <v>3</v>
      </c>
      <c r="D9" s="5">
        <v>1367</v>
      </c>
      <c r="E9" s="5">
        <v>5503</v>
      </c>
      <c r="F9" s="5">
        <v>40</v>
      </c>
    </row>
    <row r="10" spans="2:6" x14ac:dyDescent="0.2">
      <c r="B10" s="4" t="s">
        <v>55</v>
      </c>
      <c r="C10" s="8">
        <f>SUM(C5:C9)</f>
        <v>18</v>
      </c>
      <c r="D10" s="8">
        <f>SUM(D5:D9)</f>
        <v>3617</v>
      </c>
      <c r="E10" s="8">
        <f>SUM(E5:E9)</f>
        <v>19651</v>
      </c>
      <c r="F10" s="8">
        <f>SUM(F5:F9)</f>
        <v>113</v>
      </c>
    </row>
    <row r="12" spans="2:6" x14ac:dyDescent="0.2">
      <c r="B12" s="4" t="s">
        <v>56</v>
      </c>
      <c r="C12" s="11">
        <v>81.599999999999994</v>
      </c>
    </row>
    <row r="14" spans="2:6" x14ac:dyDescent="0.2">
      <c r="B14" s="6" t="s">
        <v>57</v>
      </c>
      <c r="C14" s="6"/>
    </row>
    <row r="15" spans="2:6" x14ac:dyDescent="0.2">
      <c r="B15" s="7" t="s">
        <v>58</v>
      </c>
      <c r="C15" s="5">
        <v>1121</v>
      </c>
    </row>
    <row r="16" spans="2:6" x14ac:dyDescent="0.2">
      <c r="B16" s="7" t="s">
        <v>59</v>
      </c>
      <c r="C16" s="5">
        <v>868</v>
      </c>
    </row>
    <row r="17" spans="2:3" x14ac:dyDescent="0.2">
      <c r="B17" s="7" t="s">
        <v>60</v>
      </c>
      <c r="C17" s="5">
        <v>615</v>
      </c>
    </row>
    <row r="18" spans="2:3" x14ac:dyDescent="0.2">
      <c r="B18" s="7" t="s">
        <v>61</v>
      </c>
      <c r="C18" s="5">
        <v>434</v>
      </c>
    </row>
    <row r="19" spans="2:3" x14ac:dyDescent="0.2">
      <c r="B19" s="7" t="s">
        <v>62</v>
      </c>
      <c r="C19" s="5">
        <v>326</v>
      </c>
    </row>
    <row r="20" spans="2:3" x14ac:dyDescent="0.2">
      <c r="B20" s="7" t="s">
        <v>63</v>
      </c>
      <c r="C20" s="5">
        <v>253</v>
      </c>
    </row>
    <row r="21" spans="2:3" x14ac:dyDescent="0.2">
      <c r="B21" s="4" t="s">
        <v>64</v>
      </c>
      <c r="C21" s="8">
        <f>SUM(C15:C20)</f>
        <v>3617</v>
      </c>
    </row>
    <row r="22" spans="2:3" x14ac:dyDescent="0.2">
      <c r="B22" s="4" t="s">
        <v>65</v>
      </c>
      <c r="C22" s="9" t="str">
        <f>IF(C21=D10,"✓","✗")</f>
        <v>✓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6"/>
  <sheetViews>
    <sheetView rightToLeft="1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16" customWidth="1"/>
    <col min="4" max="4" width="13" customWidth="1"/>
    <col min="5" max="5" width="16" customWidth="1"/>
    <col min="6" max="7" width="12" customWidth="1"/>
  </cols>
  <sheetData>
    <row r="2" spans="2:7" ht="18" x14ac:dyDescent="0.2">
      <c r="B2" s="3" t="s">
        <v>66</v>
      </c>
    </row>
    <row r="4" spans="2:7" x14ac:dyDescent="0.2">
      <c r="B4" s="6" t="s">
        <v>67</v>
      </c>
      <c r="C4" s="6" t="s">
        <v>17</v>
      </c>
      <c r="D4" s="6" t="s">
        <v>28</v>
      </c>
      <c r="E4" s="6" t="s">
        <v>29</v>
      </c>
      <c r="F4" s="6" t="s">
        <v>68</v>
      </c>
      <c r="G4" s="6" t="s">
        <v>52</v>
      </c>
    </row>
    <row r="5" spans="2:7" x14ac:dyDescent="0.2">
      <c r="B5" s="10" t="s">
        <v>69</v>
      </c>
      <c r="C5" s="10" t="s">
        <v>19</v>
      </c>
      <c r="D5" s="5">
        <v>6</v>
      </c>
      <c r="E5" s="5">
        <v>5</v>
      </c>
      <c r="F5" s="5">
        <v>21500</v>
      </c>
      <c r="G5" s="5">
        <v>84</v>
      </c>
    </row>
    <row r="6" spans="2:7" x14ac:dyDescent="0.2">
      <c r="B6" s="10" t="s">
        <v>70</v>
      </c>
      <c r="C6" s="10" t="s">
        <v>19</v>
      </c>
      <c r="D6" s="5">
        <v>5</v>
      </c>
      <c r="E6" s="5">
        <v>4</v>
      </c>
      <c r="F6" s="5">
        <v>16800</v>
      </c>
      <c r="G6" s="5">
        <v>61</v>
      </c>
    </row>
    <row r="7" spans="2:7" x14ac:dyDescent="0.2">
      <c r="B7" s="10" t="s">
        <v>71</v>
      </c>
      <c r="C7" s="10" t="s">
        <v>19</v>
      </c>
      <c r="D7" s="5">
        <v>4</v>
      </c>
      <c r="E7" s="5">
        <v>4</v>
      </c>
      <c r="F7" s="5">
        <v>15200</v>
      </c>
      <c r="G7" s="5">
        <v>57</v>
      </c>
    </row>
    <row r="8" spans="2:7" x14ac:dyDescent="0.2">
      <c r="B8" s="10" t="s">
        <v>72</v>
      </c>
      <c r="C8" s="10" t="s">
        <v>19</v>
      </c>
      <c r="D8" s="5">
        <v>3</v>
      </c>
      <c r="E8" s="5">
        <v>3</v>
      </c>
      <c r="F8" s="5">
        <v>11900</v>
      </c>
      <c r="G8" s="5">
        <v>48</v>
      </c>
    </row>
    <row r="9" spans="2:7" x14ac:dyDescent="0.2">
      <c r="B9" s="10" t="s">
        <v>73</v>
      </c>
      <c r="C9" s="10" t="s">
        <v>20</v>
      </c>
      <c r="D9" s="5">
        <v>7</v>
      </c>
      <c r="E9" s="5">
        <v>8</v>
      </c>
      <c r="F9" s="5">
        <v>34600</v>
      </c>
      <c r="G9" s="5">
        <v>216</v>
      </c>
    </row>
    <row r="10" spans="2:7" x14ac:dyDescent="0.2">
      <c r="B10" s="10" t="s">
        <v>74</v>
      </c>
      <c r="C10" s="10" t="s">
        <v>20</v>
      </c>
      <c r="D10" s="5">
        <v>6</v>
      </c>
      <c r="E10" s="5">
        <v>6</v>
      </c>
      <c r="F10" s="5">
        <v>30200</v>
      </c>
      <c r="G10" s="5">
        <v>246</v>
      </c>
    </row>
    <row r="11" spans="2:7" x14ac:dyDescent="0.2">
      <c r="B11" s="10" t="s">
        <v>75</v>
      </c>
      <c r="C11" s="10" t="s">
        <v>20</v>
      </c>
      <c r="D11" s="5">
        <v>5</v>
      </c>
      <c r="E11" s="5">
        <v>5</v>
      </c>
      <c r="F11" s="5">
        <v>24800</v>
      </c>
      <c r="G11" s="5">
        <v>168</v>
      </c>
    </row>
    <row r="12" spans="2:7" x14ac:dyDescent="0.2">
      <c r="B12" s="10" t="s">
        <v>76</v>
      </c>
      <c r="C12" s="10" t="s">
        <v>20</v>
      </c>
      <c r="D12" s="5">
        <v>4</v>
      </c>
      <c r="E12" s="5">
        <v>6</v>
      </c>
      <c r="F12" s="5">
        <v>27400</v>
      </c>
      <c r="G12" s="5">
        <v>152</v>
      </c>
    </row>
    <row r="13" spans="2:7" x14ac:dyDescent="0.2">
      <c r="B13" s="10" t="s">
        <v>77</v>
      </c>
      <c r="C13" s="10" t="s">
        <v>21</v>
      </c>
      <c r="D13" s="5">
        <v>4</v>
      </c>
      <c r="E13" s="5">
        <v>7</v>
      </c>
      <c r="F13" s="5">
        <v>23200</v>
      </c>
      <c r="G13" s="5">
        <v>187</v>
      </c>
    </row>
    <row r="14" spans="2:7" x14ac:dyDescent="0.2">
      <c r="B14" s="10" t="s">
        <v>78</v>
      </c>
      <c r="C14" s="10" t="s">
        <v>21</v>
      </c>
      <c r="D14" s="5">
        <v>3</v>
      </c>
      <c r="E14" s="5">
        <v>5</v>
      </c>
      <c r="F14" s="5">
        <v>19400</v>
      </c>
      <c r="G14" s="5">
        <v>149</v>
      </c>
    </row>
    <row r="15" spans="2:7" x14ac:dyDescent="0.2">
      <c r="B15" s="10" t="s">
        <v>79</v>
      </c>
      <c r="C15" s="10" t="s">
        <v>21</v>
      </c>
      <c r="D15" s="5">
        <v>2</v>
      </c>
      <c r="E15" s="5">
        <v>4</v>
      </c>
      <c r="F15" s="5">
        <v>15300</v>
      </c>
      <c r="G15" s="5">
        <v>102</v>
      </c>
    </row>
    <row r="16" spans="2:7" x14ac:dyDescent="0.2">
      <c r="B16" s="10" t="s">
        <v>80</v>
      </c>
      <c r="C16" s="10" t="s">
        <v>21</v>
      </c>
      <c r="D16" s="5">
        <v>2</v>
      </c>
      <c r="E16" s="5">
        <v>3</v>
      </c>
      <c r="F16" s="5">
        <v>11600</v>
      </c>
      <c r="G16" s="5">
        <v>76</v>
      </c>
    </row>
    <row r="17" spans="2:7" x14ac:dyDescent="0.2">
      <c r="B17" s="10" t="s">
        <v>81</v>
      </c>
      <c r="C17" s="10" t="s">
        <v>22</v>
      </c>
      <c r="D17" s="5">
        <v>5</v>
      </c>
      <c r="E17" s="5">
        <v>5</v>
      </c>
      <c r="F17" s="5">
        <v>18900</v>
      </c>
      <c r="G17" s="5">
        <v>121</v>
      </c>
    </row>
    <row r="18" spans="2:7" x14ac:dyDescent="0.2">
      <c r="B18" s="10" t="s">
        <v>82</v>
      </c>
      <c r="C18" s="10" t="s">
        <v>22</v>
      </c>
      <c r="D18" s="5">
        <v>4</v>
      </c>
      <c r="E18" s="5">
        <v>4</v>
      </c>
      <c r="F18" s="5">
        <v>15600</v>
      </c>
      <c r="G18" s="5">
        <v>96</v>
      </c>
    </row>
    <row r="19" spans="2:7" x14ac:dyDescent="0.2">
      <c r="B19" s="10" t="s">
        <v>83</v>
      </c>
      <c r="C19" s="10" t="s">
        <v>22</v>
      </c>
      <c r="D19" s="5">
        <v>3</v>
      </c>
      <c r="E19" s="5">
        <v>4</v>
      </c>
      <c r="F19" s="5">
        <v>14800</v>
      </c>
      <c r="G19" s="5">
        <v>78</v>
      </c>
    </row>
    <row r="20" spans="2:7" x14ac:dyDescent="0.2">
      <c r="B20" s="10" t="s">
        <v>84</v>
      </c>
      <c r="C20" s="10" t="s">
        <v>22</v>
      </c>
      <c r="D20" s="5">
        <v>3</v>
      </c>
      <c r="E20" s="5">
        <v>3</v>
      </c>
      <c r="F20" s="5">
        <v>11200</v>
      </c>
      <c r="G20" s="5">
        <v>44</v>
      </c>
    </row>
    <row r="21" spans="2:7" x14ac:dyDescent="0.2">
      <c r="B21" s="10" t="s">
        <v>85</v>
      </c>
      <c r="C21" s="10" t="s">
        <v>23</v>
      </c>
      <c r="D21" s="5">
        <v>5</v>
      </c>
      <c r="E21" s="5">
        <v>7</v>
      </c>
      <c r="F21" s="5">
        <v>26400</v>
      </c>
      <c r="G21" s="5">
        <v>358</v>
      </c>
    </row>
    <row r="22" spans="2:7" x14ac:dyDescent="0.2">
      <c r="B22" s="10" t="s">
        <v>86</v>
      </c>
      <c r="C22" s="10" t="s">
        <v>23</v>
      </c>
      <c r="D22" s="5">
        <v>5</v>
      </c>
      <c r="E22" s="5">
        <v>6</v>
      </c>
      <c r="F22" s="5">
        <v>24100</v>
      </c>
      <c r="G22" s="5">
        <v>292</v>
      </c>
    </row>
    <row r="23" spans="2:7" x14ac:dyDescent="0.2">
      <c r="B23" s="10" t="s">
        <v>87</v>
      </c>
      <c r="C23" s="10" t="s">
        <v>23</v>
      </c>
      <c r="D23" s="5">
        <v>4</v>
      </c>
      <c r="E23" s="5">
        <v>5</v>
      </c>
      <c r="F23" s="5">
        <v>21800</v>
      </c>
      <c r="G23" s="5">
        <v>247</v>
      </c>
    </row>
    <row r="24" spans="2:7" x14ac:dyDescent="0.2">
      <c r="B24" s="10" t="s">
        <v>88</v>
      </c>
      <c r="C24" s="10" t="s">
        <v>23</v>
      </c>
      <c r="D24" s="5">
        <v>4</v>
      </c>
      <c r="E24" s="5">
        <v>4</v>
      </c>
      <c r="F24" s="5">
        <v>17600</v>
      </c>
      <c r="G24" s="5">
        <v>214</v>
      </c>
    </row>
    <row r="26" spans="2:7" x14ac:dyDescent="0.2">
      <c r="B26" s="4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55"/>
  <sheetViews>
    <sheetView rightToLeft="1" workbookViewId="0"/>
  </sheetViews>
  <sheetFormatPr baseColWidth="10" defaultColWidth="8.83203125" defaultRowHeight="15" x14ac:dyDescent="0.2"/>
  <cols>
    <col min="1" max="1" width="3" customWidth="1"/>
    <col min="2" max="2" width="44" customWidth="1"/>
    <col min="3" max="5" width="15" customWidth="1"/>
  </cols>
  <sheetData>
    <row r="2" spans="2:3" ht="18" x14ac:dyDescent="0.2">
      <c r="B2" s="3" t="s">
        <v>90</v>
      </c>
    </row>
    <row r="4" spans="2:3" x14ac:dyDescent="0.2">
      <c r="B4" s="4" t="s">
        <v>91</v>
      </c>
      <c r="C4" s="5">
        <v>561571</v>
      </c>
    </row>
    <row r="5" spans="2:3" x14ac:dyDescent="0.2">
      <c r="B5" s="4" t="s">
        <v>92</v>
      </c>
      <c r="C5" s="10" t="s">
        <v>44</v>
      </c>
    </row>
    <row r="6" spans="2:3" x14ac:dyDescent="0.2">
      <c r="B6" s="4" t="s">
        <v>93</v>
      </c>
      <c r="C6" s="10" t="s">
        <v>94</v>
      </c>
    </row>
    <row r="8" spans="2:3" x14ac:dyDescent="0.2">
      <c r="B8" s="6" t="s">
        <v>95</v>
      </c>
      <c r="C8" s="6"/>
    </row>
    <row r="9" spans="2:3" x14ac:dyDescent="0.2">
      <c r="B9" s="7" t="s">
        <v>96</v>
      </c>
      <c r="C9" s="5">
        <v>38</v>
      </c>
    </row>
    <row r="10" spans="2:3" x14ac:dyDescent="0.2">
      <c r="B10" s="7" t="s">
        <v>97</v>
      </c>
      <c r="C10" s="5">
        <v>68</v>
      </c>
    </row>
    <row r="11" spans="2:3" x14ac:dyDescent="0.2">
      <c r="B11" s="7" t="s">
        <v>98</v>
      </c>
      <c r="C11" s="5">
        <v>34</v>
      </c>
    </row>
    <row r="12" spans="2:3" x14ac:dyDescent="0.2">
      <c r="B12" s="4" t="s">
        <v>99</v>
      </c>
      <c r="C12" s="9" t="str">
        <f>IF(SUM(C9:C11)=التراخيص!D20,"✓","✗")</f>
        <v>✓</v>
      </c>
    </row>
    <row r="14" spans="2:3" x14ac:dyDescent="0.2">
      <c r="B14" s="6" t="s">
        <v>100</v>
      </c>
      <c r="C14" s="6"/>
    </row>
    <row r="15" spans="2:3" x14ac:dyDescent="0.2">
      <c r="B15" s="7" t="s">
        <v>101</v>
      </c>
      <c r="C15" s="5">
        <v>1164400</v>
      </c>
    </row>
    <row r="16" spans="2:3" x14ac:dyDescent="0.2">
      <c r="B16" s="7" t="s">
        <v>102</v>
      </c>
      <c r="C16" s="5">
        <v>255600</v>
      </c>
    </row>
    <row r="17" spans="2:4" x14ac:dyDescent="0.2">
      <c r="B17" s="4" t="s">
        <v>103</v>
      </c>
      <c r="C17" s="9" t="str">
        <f>IF(C15+C16=الطلب!C4,"✓","✗")</f>
        <v>✓</v>
      </c>
    </row>
    <row r="19" spans="2:4" x14ac:dyDescent="0.2">
      <c r="B19" s="6" t="s">
        <v>104</v>
      </c>
      <c r="C19" s="6"/>
    </row>
    <row r="20" spans="2:4" x14ac:dyDescent="0.2">
      <c r="B20" s="7" t="s">
        <v>105</v>
      </c>
      <c r="C20" s="5">
        <v>505000</v>
      </c>
    </row>
    <row r="21" spans="2:4" x14ac:dyDescent="0.2">
      <c r="B21" s="7" t="s">
        <v>106</v>
      </c>
      <c r="C21" s="5">
        <v>217000</v>
      </c>
    </row>
    <row r="22" spans="2:4" x14ac:dyDescent="0.2">
      <c r="B22" s="7" t="s">
        <v>107</v>
      </c>
      <c r="C22" s="5">
        <v>198000</v>
      </c>
    </row>
    <row r="23" spans="2:4" x14ac:dyDescent="0.2">
      <c r="B23" s="7" t="s">
        <v>108</v>
      </c>
      <c r="C23" s="5">
        <v>165000</v>
      </c>
    </row>
    <row r="24" spans="2:4" x14ac:dyDescent="0.2">
      <c r="B24" s="7" t="s">
        <v>109</v>
      </c>
      <c r="C24" s="5">
        <v>152000</v>
      </c>
    </row>
    <row r="25" spans="2:4" x14ac:dyDescent="0.2">
      <c r="B25" s="7" t="s">
        <v>110</v>
      </c>
      <c r="C25" s="5">
        <v>183000</v>
      </c>
    </row>
    <row r="26" spans="2:4" x14ac:dyDescent="0.2">
      <c r="B26" s="4" t="s">
        <v>103</v>
      </c>
      <c r="C26" s="9" t="str">
        <f>IF(SUM(C20:C25)=الطلب!C4,"✓","✗")</f>
        <v>✓</v>
      </c>
    </row>
    <row r="28" spans="2:4" x14ac:dyDescent="0.2">
      <c r="B28" s="4" t="s">
        <v>111</v>
      </c>
    </row>
    <row r="29" spans="2:4" x14ac:dyDescent="0.2">
      <c r="B29" s="6" t="s">
        <v>112</v>
      </c>
      <c r="C29" s="6" t="s">
        <v>53</v>
      </c>
      <c r="D29" s="6" t="s">
        <v>52</v>
      </c>
    </row>
    <row r="30" spans="2:4" x14ac:dyDescent="0.2">
      <c r="B30" s="7" t="s">
        <v>33</v>
      </c>
      <c r="C30" s="5">
        <v>1548</v>
      </c>
      <c r="D30" s="5">
        <v>292</v>
      </c>
    </row>
    <row r="31" spans="2:4" x14ac:dyDescent="0.2">
      <c r="B31" s="7" t="s">
        <v>34</v>
      </c>
      <c r="C31" s="5">
        <v>1504</v>
      </c>
      <c r="D31" s="5">
        <v>288</v>
      </c>
    </row>
    <row r="32" spans="2:4" x14ac:dyDescent="0.2">
      <c r="B32" s="7" t="s">
        <v>35</v>
      </c>
      <c r="C32" s="5">
        <v>1601</v>
      </c>
      <c r="D32" s="5">
        <v>293</v>
      </c>
    </row>
    <row r="33" spans="2:5" x14ac:dyDescent="0.2">
      <c r="B33" s="7" t="s">
        <v>36</v>
      </c>
      <c r="C33" s="5">
        <v>1580</v>
      </c>
      <c r="D33" s="5">
        <v>279</v>
      </c>
    </row>
    <row r="34" spans="2:5" x14ac:dyDescent="0.2">
      <c r="B34" s="7" t="s">
        <v>37</v>
      </c>
      <c r="C34" s="5">
        <v>1609</v>
      </c>
      <c r="D34" s="5">
        <v>292</v>
      </c>
    </row>
    <row r="35" spans="2:5" x14ac:dyDescent="0.2">
      <c r="B35" s="7" t="s">
        <v>38</v>
      </c>
      <c r="C35" s="5">
        <v>1654</v>
      </c>
      <c r="D35" s="5">
        <v>304</v>
      </c>
    </row>
    <row r="36" spans="2:5" x14ac:dyDescent="0.2">
      <c r="B36" s="7" t="s">
        <v>39</v>
      </c>
      <c r="C36" s="5">
        <v>1736</v>
      </c>
      <c r="D36" s="5">
        <v>316</v>
      </c>
    </row>
    <row r="37" spans="2:5" x14ac:dyDescent="0.2">
      <c r="B37" s="7" t="s">
        <v>40</v>
      </c>
      <c r="C37" s="5">
        <v>1755</v>
      </c>
      <c r="D37" s="5">
        <v>309</v>
      </c>
    </row>
    <row r="38" spans="2:5" x14ac:dyDescent="0.2">
      <c r="B38" s="7" t="s">
        <v>41</v>
      </c>
      <c r="C38" s="5">
        <v>1800</v>
      </c>
      <c r="D38" s="5">
        <v>310</v>
      </c>
    </row>
    <row r="39" spans="2:5" x14ac:dyDescent="0.2">
      <c r="B39" s="7" t="s">
        <v>42</v>
      </c>
      <c r="C39" s="5">
        <v>1747</v>
      </c>
      <c r="D39" s="5">
        <v>300</v>
      </c>
    </row>
    <row r="40" spans="2:5" x14ac:dyDescent="0.2">
      <c r="B40" s="7" t="s">
        <v>43</v>
      </c>
      <c r="C40" s="5">
        <v>1558</v>
      </c>
      <c r="D40" s="5">
        <v>317</v>
      </c>
    </row>
    <row r="41" spans="2:5" x14ac:dyDescent="0.2">
      <c r="B41" s="7" t="s">
        <v>44</v>
      </c>
      <c r="C41" s="5">
        <v>1559</v>
      </c>
      <c r="D41" s="5">
        <v>317</v>
      </c>
    </row>
    <row r="42" spans="2:5" x14ac:dyDescent="0.2">
      <c r="B42" s="4" t="s">
        <v>113</v>
      </c>
      <c r="C42" s="9" t="str">
        <f>IF(SUM(C30:C41)=الرقابة!E10,"✓","✗")</f>
        <v>✓</v>
      </c>
      <c r="D42" s="9" t="str">
        <f>IF(SUM(D30:D41)=الرقابة!D10,"✓","✗")</f>
        <v>✓</v>
      </c>
    </row>
    <row r="44" spans="2:5" x14ac:dyDescent="0.2">
      <c r="B44" s="4" t="s">
        <v>114</v>
      </c>
    </row>
    <row r="45" spans="2:5" x14ac:dyDescent="0.2">
      <c r="B45" s="6" t="s">
        <v>112</v>
      </c>
      <c r="C45" s="6" t="s">
        <v>115</v>
      </c>
      <c r="D45" s="6" t="s">
        <v>116</v>
      </c>
      <c r="E45" s="6" t="s">
        <v>117</v>
      </c>
    </row>
    <row r="46" spans="2:5" x14ac:dyDescent="0.2">
      <c r="B46" s="7" t="s">
        <v>118</v>
      </c>
      <c r="C46" s="5">
        <v>830540</v>
      </c>
      <c r="D46" s="5">
        <v>821088</v>
      </c>
      <c r="E46" s="5">
        <v>810736</v>
      </c>
    </row>
    <row r="47" spans="2:5" x14ac:dyDescent="0.2">
      <c r="B47" s="7" t="s">
        <v>119</v>
      </c>
      <c r="C47" s="5">
        <v>838380</v>
      </c>
      <c r="D47" s="5">
        <v>825768</v>
      </c>
      <c r="E47" s="5">
        <v>811888</v>
      </c>
    </row>
    <row r="48" spans="2:5" x14ac:dyDescent="0.2">
      <c r="B48" s="7" t="s">
        <v>120</v>
      </c>
      <c r="C48" s="5">
        <v>846320</v>
      </c>
      <c r="D48" s="5">
        <v>830562</v>
      </c>
      <c r="E48" s="5">
        <v>813040</v>
      </c>
    </row>
    <row r="49" spans="2:5" x14ac:dyDescent="0.2">
      <c r="B49" s="7" t="s">
        <v>121</v>
      </c>
      <c r="C49" s="5">
        <v>854356</v>
      </c>
      <c r="D49" s="5">
        <v>835464</v>
      </c>
      <c r="E49" s="5">
        <v>814192</v>
      </c>
    </row>
    <row r="50" spans="2:5" x14ac:dyDescent="0.2">
      <c r="B50" s="7" t="s">
        <v>122</v>
      </c>
      <c r="C50" s="5">
        <v>862492</v>
      </c>
      <c r="D50" s="5">
        <v>840294</v>
      </c>
      <c r="E50" s="5">
        <v>815344</v>
      </c>
    </row>
    <row r="51" spans="2:5" x14ac:dyDescent="0.2">
      <c r="B51" s="7" t="s">
        <v>123</v>
      </c>
      <c r="C51" s="5">
        <v>870724</v>
      </c>
      <c r="D51" s="5">
        <v>845238</v>
      </c>
      <c r="E51" s="5">
        <v>816496</v>
      </c>
    </row>
    <row r="52" spans="2:5" x14ac:dyDescent="0.2">
      <c r="B52" s="7" t="s">
        <v>124</v>
      </c>
      <c r="C52" s="5">
        <v>879052</v>
      </c>
      <c r="D52" s="5">
        <v>850158</v>
      </c>
      <c r="E52" s="5">
        <v>817648</v>
      </c>
    </row>
    <row r="53" spans="2:5" x14ac:dyDescent="0.2">
      <c r="B53" s="7" t="s">
        <v>125</v>
      </c>
      <c r="C53" s="5">
        <v>887480</v>
      </c>
      <c r="D53" s="5">
        <v>855102</v>
      </c>
      <c r="E53" s="5">
        <v>818800</v>
      </c>
    </row>
    <row r="54" spans="2:5" x14ac:dyDescent="0.2">
      <c r="B54" s="7" t="s">
        <v>126</v>
      </c>
      <c r="C54" s="5">
        <v>896004</v>
      </c>
      <c r="D54" s="5">
        <v>860028</v>
      </c>
      <c r="E54" s="5">
        <v>819952</v>
      </c>
    </row>
    <row r="55" spans="2:5" x14ac:dyDescent="0.2">
      <c r="B55" s="7" t="s">
        <v>127</v>
      </c>
      <c r="C55" s="5">
        <v>904628</v>
      </c>
      <c r="D55" s="5">
        <v>865008</v>
      </c>
      <c r="E55" s="5">
        <v>821788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تعليمات</vt:lpstr>
      <vt:lpstr>الطلب</vt:lpstr>
      <vt:lpstr>التراخيص</vt:lpstr>
      <vt:lpstr>الرقابة</vt:lpstr>
      <vt:lpstr>الأحياء</vt:lpstr>
      <vt:lpstr>السياق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Alshehre</cp:lastModifiedBy>
  <dcterms:created xsi:type="dcterms:W3CDTF">2026-08-11T11:20:42Z</dcterms:created>
  <dcterms:modified xsi:type="dcterms:W3CDTF">2026-08-16T10:54:07Z</dcterms:modified>
</cp:coreProperties>
</file>